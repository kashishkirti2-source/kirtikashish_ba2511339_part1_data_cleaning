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82542CFE-5F25-40D4-83AB-2D1A4B4929BA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cleaned_orders" sheetId="1" r:id="rId1"/>
  </sheets>
  <definedNames>
    <definedName name="_xlnm._FilterDatabase" localSheetId="0" hidden="1">cleaned_orders!$A$1:$AE$913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" i="1" l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2" i="1"/>
  <c r="Z391" i="1" l="1"/>
  <c r="Z396" i="1"/>
  <c r="Z399" i="1"/>
  <c r="Z403" i="1"/>
  <c r="Z408" i="1"/>
  <c r="Z412" i="1"/>
  <c r="Z417" i="1"/>
  <c r="Z422" i="1"/>
  <c r="Z426" i="1"/>
  <c r="Z435" i="1"/>
  <c r="Z440" i="1"/>
  <c r="Z446" i="1"/>
  <c r="Z453" i="1"/>
  <c r="Z390" i="1"/>
  <c r="Z394" i="1"/>
  <c r="Z398" i="1"/>
  <c r="Z402" i="1"/>
  <c r="Z407" i="1"/>
  <c r="Z413" i="1"/>
  <c r="Z421" i="1"/>
  <c r="Z423" i="1"/>
  <c r="Z429" i="1"/>
  <c r="Z436" i="1"/>
  <c r="Z443" i="1"/>
  <c r="Z447" i="1"/>
  <c r="Z451" i="1"/>
  <c r="Z388" i="1"/>
  <c r="Z393" i="1"/>
  <c r="Z397" i="1"/>
  <c r="Z400" i="1"/>
  <c r="Z405" i="1"/>
  <c r="Z411" i="1"/>
  <c r="Z416" i="1"/>
  <c r="Z419" i="1"/>
  <c r="Z428" i="1"/>
  <c r="Z431" i="1"/>
  <c r="Z434" i="1"/>
  <c r="Z441" i="1"/>
  <c r="Z449" i="1"/>
  <c r="Z455" i="1"/>
  <c r="Z406" i="1"/>
  <c r="Z424" i="1"/>
  <c r="Z430" i="1"/>
  <c r="Z438" i="1"/>
  <c r="Z445" i="1"/>
  <c r="Z450" i="1"/>
  <c r="Z456" i="1"/>
  <c r="Z458" i="1"/>
  <c r="Z404" i="1"/>
  <c r="Z409" i="1"/>
  <c r="Z414" i="1"/>
  <c r="Z418" i="1"/>
  <c r="Z425" i="1"/>
  <c r="Z432" i="1"/>
  <c r="Z437" i="1"/>
  <c r="Z442" i="1"/>
  <c r="Z452" i="1"/>
  <c r="Z457" i="1"/>
  <c r="Z389" i="1"/>
  <c r="Z392" i="1"/>
  <c r="Z395" i="1"/>
  <c r="Z401" i="1"/>
  <c r="Z410" i="1"/>
  <c r="Z415" i="1"/>
  <c r="Z420" i="1"/>
  <c r="Z427" i="1"/>
  <c r="Z433" i="1"/>
  <c r="Z439" i="1"/>
  <c r="Z444" i="1"/>
  <c r="Z448" i="1"/>
  <c r="Z454" i="1"/>
  <c r="Z387" i="1"/>
  <c r="Z385" i="1"/>
  <c r="Z384" i="1"/>
  <c r="Z386" i="1"/>
  <c r="Z383" i="1"/>
  <c r="Z87" i="1"/>
  <c r="Z92" i="1"/>
  <c r="Z96" i="1"/>
  <c r="Z100" i="1"/>
  <c r="Z99" i="1"/>
  <c r="Z89" i="1"/>
  <c r="Z93" i="1"/>
  <c r="Z90" i="1"/>
  <c r="Z91" i="1"/>
  <c r="Z95" i="1"/>
  <c r="Z98" i="1"/>
  <c r="Z97" i="1"/>
  <c r="Z88" i="1"/>
  <c r="Z94" i="1"/>
  <c r="AE685" i="1"/>
  <c r="AB402" i="1"/>
  <c r="AA383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AB21" i="1" s="1"/>
  <c r="Z22" i="1"/>
  <c r="Z23" i="1"/>
  <c r="AB23" i="1" s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839" i="1"/>
  <c r="AA76" i="1"/>
  <c r="AB76" i="1" s="1"/>
  <c r="AA77" i="1"/>
  <c r="AB77" i="1" s="1"/>
  <c r="AA78" i="1"/>
  <c r="AB78" i="1" s="1"/>
  <c r="AA79" i="1"/>
  <c r="AB79" i="1" s="1"/>
  <c r="AA80" i="1"/>
  <c r="AB80" i="1" s="1"/>
  <c r="AA81" i="1"/>
  <c r="AB81" i="1" s="1"/>
  <c r="AA82" i="1"/>
  <c r="AB82" i="1" s="1"/>
  <c r="AA83" i="1"/>
  <c r="AB83" i="1" s="1"/>
  <c r="AA84" i="1"/>
  <c r="AB84" i="1" s="1"/>
  <c r="AA85" i="1"/>
  <c r="AB85" i="1" s="1"/>
  <c r="AA86" i="1"/>
  <c r="AB86" i="1" s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2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2" i="1"/>
  <c r="AA454" i="1" l="1"/>
  <c r="AA455" i="1"/>
  <c r="AA456" i="1"/>
  <c r="AA457" i="1"/>
  <c r="AA458" i="1"/>
  <c r="AB95" i="1"/>
  <c r="AA384" i="1"/>
  <c r="AA87" i="1"/>
  <c r="AB87" i="1" s="1"/>
  <c r="AA88" i="1"/>
  <c r="AB88" i="1" s="1"/>
  <c r="AA89" i="1"/>
  <c r="AB89" i="1" s="1"/>
  <c r="AA90" i="1"/>
  <c r="AB90" i="1" s="1"/>
  <c r="AA91" i="1"/>
  <c r="AB91" i="1" s="1"/>
  <c r="AA92" i="1"/>
  <c r="AB92" i="1" s="1"/>
  <c r="AA93" i="1"/>
  <c r="AB93" i="1" s="1"/>
  <c r="AA94" i="1"/>
  <c r="AB94" i="1" s="1"/>
  <c r="AA95" i="1"/>
  <c r="AA96" i="1"/>
  <c r="AB96" i="1" s="1"/>
  <c r="AA97" i="1"/>
  <c r="AB97" i="1" s="1"/>
  <c r="AA98" i="1"/>
  <c r="AB98" i="1" s="1"/>
  <c r="AA99" i="1"/>
  <c r="AB99" i="1" s="1"/>
  <c r="AA100" i="1"/>
  <c r="AB100" i="1" s="1"/>
  <c r="AA24" i="1"/>
  <c r="AB24" i="1" s="1"/>
  <c r="AA25" i="1"/>
  <c r="AB25" i="1" s="1"/>
  <c r="AA26" i="1"/>
  <c r="AB26" i="1" s="1"/>
  <c r="AA27" i="1"/>
  <c r="AB27" i="1" s="1"/>
  <c r="AA28" i="1"/>
  <c r="AB28" i="1" s="1"/>
  <c r="AA29" i="1"/>
  <c r="AB29" i="1" s="1"/>
  <c r="AA30" i="1"/>
  <c r="AB30" i="1" s="1"/>
  <c r="AA31" i="1"/>
  <c r="AB31" i="1" s="1"/>
  <c r="AA32" i="1"/>
  <c r="AB32" i="1" s="1"/>
  <c r="AA33" i="1"/>
  <c r="AB33" i="1" s="1"/>
  <c r="AA34" i="1"/>
  <c r="AB34" i="1" s="1"/>
  <c r="AA35" i="1"/>
  <c r="AB35" i="1" s="1"/>
  <c r="AA36" i="1"/>
  <c r="AB36" i="1" s="1"/>
  <c r="AA37" i="1"/>
  <c r="AB37" i="1" s="1"/>
  <c r="AA38" i="1"/>
  <c r="AB38" i="1" s="1"/>
  <c r="AA39" i="1"/>
  <c r="AB39" i="1" s="1"/>
  <c r="AA40" i="1"/>
  <c r="AB40" i="1" s="1"/>
  <c r="AA41" i="1"/>
  <c r="AB41" i="1" s="1"/>
  <c r="AA42" i="1"/>
  <c r="AB42" i="1" s="1"/>
  <c r="AA43" i="1"/>
  <c r="AB43" i="1" s="1"/>
  <c r="AA44" i="1"/>
  <c r="AB44" i="1" s="1"/>
  <c r="AA45" i="1"/>
  <c r="AB45" i="1" s="1"/>
  <c r="AA46" i="1"/>
  <c r="AB46" i="1" s="1"/>
  <c r="AA47" i="1"/>
  <c r="AB47" i="1" s="1"/>
  <c r="AA48" i="1"/>
  <c r="AB48" i="1" s="1"/>
  <c r="AA49" i="1"/>
  <c r="AB49" i="1" s="1"/>
  <c r="AA50" i="1"/>
  <c r="AB50" i="1" s="1"/>
  <c r="AA51" i="1"/>
  <c r="AB51" i="1" s="1"/>
  <c r="AA52" i="1"/>
  <c r="AB52" i="1" s="1"/>
  <c r="AA53" i="1"/>
  <c r="AB53" i="1" s="1"/>
  <c r="AA54" i="1"/>
  <c r="AB54" i="1" s="1"/>
  <c r="AA55" i="1"/>
  <c r="AB55" i="1" s="1"/>
  <c r="AA56" i="1"/>
  <c r="AB56" i="1" s="1"/>
  <c r="AA57" i="1"/>
  <c r="AB57" i="1" s="1"/>
  <c r="AA58" i="1"/>
  <c r="AB58" i="1" s="1"/>
  <c r="AA59" i="1"/>
  <c r="AB59" i="1" s="1"/>
  <c r="AA60" i="1"/>
  <c r="AB60" i="1" s="1"/>
  <c r="AA61" i="1"/>
  <c r="AB61" i="1" s="1"/>
  <c r="AA62" i="1"/>
  <c r="AB62" i="1" s="1"/>
  <c r="AA63" i="1"/>
  <c r="AB63" i="1" s="1"/>
  <c r="AA64" i="1"/>
  <c r="AB64" i="1" s="1"/>
  <c r="AA65" i="1"/>
  <c r="AB65" i="1" s="1"/>
  <c r="AA66" i="1"/>
  <c r="AB66" i="1" s="1"/>
  <c r="AA67" i="1"/>
  <c r="AB67" i="1" s="1"/>
  <c r="AA68" i="1"/>
  <c r="AB68" i="1" s="1"/>
  <c r="AA69" i="1"/>
  <c r="AB69" i="1" s="1"/>
  <c r="AA70" i="1"/>
  <c r="AB70" i="1" s="1"/>
  <c r="AA71" i="1"/>
  <c r="AB71" i="1" s="1"/>
  <c r="AA72" i="1"/>
  <c r="AB72" i="1" s="1"/>
  <c r="AA73" i="1"/>
  <c r="AB73" i="1" s="1"/>
  <c r="AA74" i="1"/>
  <c r="AB74" i="1" s="1"/>
  <c r="AA75" i="1"/>
  <c r="AB75" i="1" s="1"/>
  <c r="AB383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A3" i="1"/>
  <c r="AB3" i="1" s="1"/>
  <c r="AA4" i="1"/>
  <c r="AB4" i="1" s="1"/>
  <c r="AA5" i="1"/>
  <c r="AB5" i="1" s="1"/>
  <c r="AA6" i="1"/>
  <c r="AB6" i="1" s="1"/>
  <c r="AA7" i="1"/>
  <c r="AB7" i="1" s="1"/>
  <c r="AA8" i="1"/>
  <c r="AB8" i="1" s="1"/>
  <c r="AA9" i="1"/>
  <c r="AB9" i="1" s="1"/>
  <c r="AA10" i="1"/>
  <c r="AB10" i="1" s="1"/>
  <c r="AA11" i="1"/>
  <c r="AB11" i="1" s="1"/>
  <c r="AA12" i="1"/>
  <c r="AB12" i="1" s="1"/>
  <c r="AA13" i="1"/>
  <c r="AB13" i="1" s="1"/>
  <c r="AA14" i="1"/>
  <c r="AB14" i="1" s="1"/>
  <c r="AA15" i="1"/>
  <c r="AB15" i="1" s="1"/>
  <c r="AA16" i="1"/>
  <c r="AB16" i="1" s="1"/>
  <c r="AA17" i="1"/>
  <c r="AB17" i="1" s="1"/>
  <c r="AA18" i="1"/>
  <c r="AB18" i="1" s="1"/>
  <c r="AA19" i="1"/>
  <c r="AB19" i="1" s="1"/>
  <c r="AA20" i="1"/>
  <c r="AB20" i="1" s="1"/>
  <c r="AA21" i="1"/>
  <c r="AA22" i="1"/>
  <c r="AB22" i="1" s="1"/>
  <c r="AA23" i="1"/>
  <c r="AA101" i="1"/>
  <c r="AB101" i="1"/>
  <c r="AA102" i="1"/>
  <c r="AA103" i="1"/>
  <c r="AB103" i="1"/>
  <c r="AA104" i="1"/>
  <c r="AB104" i="1"/>
  <c r="AA105" i="1"/>
  <c r="AB105" i="1"/>
  <c r="AA106" i="1"/>
  <c r="AB106" i="1"/>
  <c r="AA107" i="1"/>
  <c r="AB107" i="1"/>
  <c r="AA108" i="1"/>
  <c r="AB108" i="1"/>
  <c r="AA109" i="1"/>
  <c r="AA110" i="1"/>
  <c r="AB110" i="1"/>
  <c r="AA111" i="1"/>
  <c r="AA112" i="1"/>
  <c r="AA113" i="1"/>
  <c r="AA114" i="1"/>
  <c r="AB114" i="1"/>
  <c r="AA115" i="1"/>
  <c r="AB115" i="1"/>
  <c r="AA116" i="1"/>
  <c r="AB116" i="1"/>
  <c r="AA117" i="1"/>
  <c r="AB117" i="1"/>
  <c r="AA118" i="1"/>
  <c r="AB118" i="1"/>
  <c r="AA119" i="1"/>
  <c r="AB119" i="1"/>
  <c r="AA120" i="1"/>
  <c r="AB120" i="1"/>
  <c r="AA121" i="1"/>
  <c r="AB121" i="1"/>
  <c r="AA122" i="1"/>
  <c r="AA123" i="1"/>
  <c r="AA124" i="1"/>
  <c r="AB124" i="1"/>
  <c r="AA125" i="1"/>
  <c r="AB125" i="1"/>
  <c r="AA126" i="1"/>
  <c r="AB126" i="1"/>
  <c r="AA127" i="1"/>
  <c r="AB127" i="1"/>
  <c r="AA128" i="1"/>
  <c r="AA129" i="1"/>
  <c r="AA130" i="1"/>
  <c r="AA131" i="1"/>
  <c r="AB131" i="1"/>
  <c r="AA132" i="1"/>
  <c r="AA133" i="1"/>
  <c r="AB133" i="1"/>
  <c r="AA134" i="1"/>
  <c r="AB134" i="1"/>
  <c r="AA135" i="1"/>
  <c r="AA136" i="1"/>
  <c r="AA137" i="1"/>
  <c r="AA138" i="1"/>
  <c r="AB138" i="1"/>
  <c r="AA139" i="1"/>
  <c r="AB139" i="1"/>
  <c r="AA140" i="1"/>
  <c r="AB140" i="1"/>
  <c r="AA141" i="1"/>
  <c r="AB141" i="1"/>
  <c r="AA142" i="1"/>
  <c r="AB142" i="1"/>
  <c r="AA143" i="1"/>
  <c r="AB143" i="1"/>
  <c r="AA144" i="1"/>
  <c r="AA145" i="1"/>
  <c r="AB145" i="1"/>
  <c r="AA146" i="1"/>
  <c r="AA147" i="1"/>
  <c r="AA148" i="1"/>
  <c r="AA149" i="1"/>
  <c r="AA150" i="1"/>
  <c r="AA151" i="1"/>
  <c r="AB151" i="1"/>
  <c r="AA152" i="1"/>
  <c r="AB152" i="1"/>
  <c r="AA153" i="1"/>
  <c r="AA154" i="1"/>
  <c r="AA155" i="1"/>
  <c r="AB155" i="1"/>
  <c r="AA156" i="1"/>
  <c r="AA157" i="1"/>
  <c r="AB157" i="1"/>
  <c r="AA158" i="1"/>
  <c r="AA159" i="1"/>
  <c r="AB159" i="1"/>
  <c r="AA160" i="1"/>
  <c r="AB160" i="1"/>
  <c r="AA161" i="1"/>
  <c r="AB161" i="1"/>
  <c r="AA162" i="1"/>
  <c r="AB162" i="1"/>
  <c r="AA163" i="1"/>
  <c r="AA164" i="1"/>
  <c r="AA165" i="1"/>
  <c r="AB165" i="1"/>
  <c r="AA166" i="1"/>
  <c r="AB166" i="1"/>
  <c r="AA167" i="1"/>
  <c r="AB167" i="1"/>
  <c r="AA168" i="1"/>
  <c r="AA169" i="1"/>
  <c r="AB169" i="1"/>
  <c r="AA170" i="1"/>
  <c r="AA171" i="1"/>
  <c r="AA172" i="1"/>
  <c r="AA173" i="1"/>
  <c r="AB173" i="1"/>
  <c r="AA174" i="1"/>
  <c r="AB174" i="1"/>
  <c r="AA175" i="1"/>
  <c r="AB175" i="1"/>
  <c r="AA176" i="1"/>
  <c r="AA177" i="1"/>
  <c r="AA178" i="1"/>
  <c r="AA179" i="1"/>
  <c r="AB179" i="1"/>
  <c r="AA180" i="1"/>
  <c r="AA181" i="1"/>
  <c r="AB181" i="1"/>
  <c r="AA182" i="1"/>
  <c r="AA183" i="1"/>
  <c r="AA184" i="1"/>
  <c r="AA185" i="1"/>
  <c r="AB185" i="1"/>
  <c r="AA186" i="1"/>
  <c r="AB186" i="1"/>
  <c r="AA187" i="1"/>
  <c r="AA188" i="1"/>
  <c r="AB188" i="1"/>
  <c r="AA189" i="1"/>
  <c r="AA190" i="1"/>
  <c r="AB190" i="1"/>
  <c r="AA191" i="1"/>
  <c r="AB191" i="1"/>
  <c r="AA192" i="1"/>
  <c r="AA193" i="1"/>
  <c r="AA194" i="1"/>
  <c r="AB194" i="1"/>
  <c r="AA195" i="1"/>
  <c r="AA196" i="1"/>
  <c r="AB196" i="1"/>
  <c r="AA197" i="1"/>
  <c r="AB197" i="1"/>
  <c r="AA198" i="1"/>
  <c r="AB198" i="1"/>
  <c r="AA199" i="1"/>
  <c r="AA200" i="1"/>
  <c r="AA201" i="1"/>
  <c r="AB201" i="1"/>
  <c r="AA202" i="1"/>
  <c r="AB202" i="1"/>
  <c r="AA203" i="1"/>
  <c r="AB203" i="1"/>
  <c r="AA204" i="1"/>
  <c r="AB204" i="1"/>
  <c r="AA205" i="1"/>
  <c r="AA206" i="1"/>
  <c r="AB206" i="1"/>
  <c r="AA207" i="1"/>
  <c r="AB207" i="1"/>
  <c r="AA208" i="1"/>
  <c r="AB208" i="1"/>
  <c r="AA209" i="1"/>
  <c r="AB209" i="1"/>
  <c r="AA210" i="1"/>
  <c r="AB210" i="1"/>
  <c r="AA211" i="1"/>
  <c r="AB211" i="1"/>
  <c r="AA212" i="1"/>
  <c r="AB212" i="1"/>
  <c r="AA213" i="1"/>
  <c r="AB213" i="1"/>
  <c r="AA214" i="1"/>
  <c r="AB214" i="1"/>
  <c r="AA215" i="1"/>
  <c r="AB215" i="1"/>
  <c r="AA216" i="1"/>
  <c r="AB216" i="1"/>
  <c r="AA217" i="1"/>
  <c r="AB217" i="1"/>
  <c r="AA218" i="1"/>
  <c r="AB218" i="1"/>
  <c r="AA219" i="1"/>
  <c r="AB219" i="1"/>
  <c r="AA220" i="1"/>
  <c r="AB220" i="1"/>
  <c r="AA221" i="1"/>
  <c r="AB221" i="1"/>
  <c r="AA222" i="1"/>
  <c r="AB222" i="1"/>
  <c r="AA223" i="1"/>
  <c r="AA224" i="1"/>
  <c r="AA225" i="1"/>
  <c r="AB225" i="1"/>
  <c r="AA226" i="1"/>
  <c r="AB226" i="1"/>
  <c r="AA227" i="1"/>
  <c r="AB227" i="1"/>
  <c r="AA228" i="1"/>
  <c r="AB228" i="1"/>
  <c r="AA229" i="1"/>
  <c r="AA230" i="1"/>
  <c r="AA231" i="1"/>
  <c r="AB231" i="1"/>
  <c r="AA232" i="1"/>
  <c r="AB232" i="1"/>
  <c r="AA233" i="1"/>
  <c r="AB233" i="1"/>
  <c r="AA234" i="1"/>
  <c r="AA235" i="1"/>
  <c r="AA236" i="1"/>
  <c r="AB236" i="1"/>
  <c r="AA237" i="1"/>
  <c r="AA238" i="1"/>
  <c r="AB238" i="1"/>
  <c r="AA239" i="1"/>
  <c r="AB239" i="1"/>
  <c r="AA240" i="1"/>
  <c r="AB240" i="1"/>
  <c r="AA241" i="1"/>
  <c r="AB241" i="1"/>
  <c r="AA242" i="1"/>
  <c r="AB242" i="1"/>
  <c r="AA243" i="1"/>
  <c r="AA244" i="1"/>
  <c r="AA245" i="1"/>
  <c r="AB245" i="1"/>
  <c r="AA246" i="1"/>
  <c r="AA247" i="1"/>
  <c r="AB247" i="1"/>
  <c r="AA248" i="1"/>
  <c r="AB248" i="1"/>
  <c r="AA249" i="1"/>
  <c r="AB249" i="1"/>
  <c r="AA250" i="1"/>
  <c r="AA251" i="1"/>
  <c r="AB251" i="1"/>
  <c r="AA252" i="1"/>
  <c r="AB252" i="1"/>
  <c r="AA253" i="1"/>
  <c r="AB253" i="1"/>
  <c r="AA254" i="1"/>
  <c r="AA255" i="1"/>
  <c r="AB255" i="1"/>
  <c r="AA256" i="1"/>
  <c r="AB256" i="1"/>
  <c r="AA257" i="1"/>
  <c r="AA258" i="1"/>
  <c r="AA259" i="1"/>
  <c r="AB259" i="1"/>
  <c r="AA260" i="1"/>
  <c r="AB260" i="1"/>
  <c r="AA261" i="1"/>
  <c r="AB261" i="1"/>
  <c r="AA262" i="1"/>
  <c r="AB262" i="1"/>
  <c r="AA263" i="1"/>
  <c r="AB263" i="1"/>
  <c r="AA264" i="1"/>
  <c r="AB264" i="1"/>
  <c r="AA265" i="1"/>
  <c r="AB265" i="1"/>
  <c r="AA266" i="1"/>
  <c r="AB266" i="1"/>
  <c r="AA267" i="1"/>
  <c r="AB267" i="1"/>
  <c r="AA268" i="1"/>
  <c r="AA269" i="1"/>
  <c r="AA270" i="1"/>
  <c r="AA271" i="1"/>
  <c r="AB271" i="1"/>
  <c r="AA272" i="1"/>
  <c r="AB272" i="1"/>
  <c r="AA273" i="1"/>
  <c r="AB273" i="1"/>
  <c r="AA274" i="1"/>
  <c r="AA275" i="1"/>
  <c r="AA276" i="1"/>
  <c r="AB276" i="1"/>
  <c r="AA277" i="1"/>
  <c r="AA278" i="1"/>
  <c r="AB278" i="1"/>
  <c r="AA279" i="1"/>
  <c r="AA280" i="1"/>
  <c r="AB280" i="1"/>
  <c r="AA281" i="1"/>
  <c r="AB281" i="1"/>
  <c r="AA282" i="1"/>
  <c r="AB282" i="1"/>
  <c r="AA283" i="1"/>
  <c r="AA284" i="1"/>
  <c r="AA285" i="1"/>
  <c r="AA286" i="1"/>
  <c r="AA287" i="1"/>
  <c r="AB287" i="1"/>
  <c r="AA288" i="1"/>
  <c r="AA289" i="1"/>
  <c r="AB289" i="1"/>
  <c r="AA290" i="1"/>
  <c r="AB290" i="1"/>
  <c r="AA291" i="1"/>
  <c r="AB291" i="1"/>
  <c r="AA292" i="1"/>
  <c r="AA293" i="1"/>
  <c r="AB293" i="1"/>
  <c r="AA294" i="1"/>
  <c r="AA295" i="1"/>
  <c r="AB295" i="1"/>
  <c r="AA296" i="1"/>
  <c r="AA297" i="1"/>
  <c r="AA298" i="1"/>
  <c r="AB298" i="1"/>
  <c r="AA299" i="1"/>
  <c r="AA300" i="1"/>
  <c r="AB300" i="1"/>
  <c r="AA301" i="1"/>
  <c r="AB301" i="1"/>
  <c r="AA302" i="1"/>
  <c r="AA303" i="1"/>
  <c r="AA304" i="1"/>
  <c r="AA305" i="1"/>
  <c r="AB305" i="1"/>
  <c r="AA306" i="1"/>
  <c r="AA307" i="1"/>
  <c r="AB307" i="1"/>
  <c r="AA308" i="1"/>
  <c r="AB308" i="1"/>
  <c r="AA309" i="1"/>
  <c r="AA310" i="1"/>
  <c r="AB310" i="1"/>
  <c r="AA311" i="1"/>
  <c r="AA312" i="1"/>
  <c r="AB312" i="1"/>
  <c r="AA313" i="1"/>
  <c r="AB313" i="1"/>
  <c r="AA314" i="1"/>
  <c r="AA315" i="1"/>
  <c r="AA316" i="1"/>
  <c r="AB316" i="1"/>
  <c r="AA317" i="1"/>
  <c r="AB317" i="1"/>
  <c r="AA318" i="1"/>
  <c r="AA319" i="1"/>
  <c r="AB319" i="1"/>
  <c r="AA320" i="1"/>
  <c r="AB320" i="1"/>
  <c r="AA321" i="1"/>
  <c r="AB321" i="1"/>
  <c r="AA322" i="1"/>
  <c r="AB322" i="1"/>
  <c r="AA323" i="1"/>
  <c r="AB323" i="1"/>
  <c r="AA324" i="1"/>
  <c r="AB324" i="1"/>
  <c r="AA325" i="1"/>
  <c r="AA326" i="1"/>
  <c r="AA327" i="1"/>
  <c r="AB327" i="1"/>
  <c r="AA328" i="1"/>
  <c r="AB328" i="1"/>
  <c r="AA329" i="1"/>
  <c r="AA330" i="1"/>
  <c r="AA331" i="1"/>
  <c r="AA332" i="1"/>
  <c r="AA333" i="1"/>
  <c r="AB333" i="1"/>
  <c r="AA334" i="1"/>
  <c r="AA335" i="1"/>
  <c r="AB335" i="1"/>
  <c r="AA336" i="1"/>
  <c r="AB336" i="1"/>
  <c r="AA337" i="1"/>
  <c r="AA338" i="1"/>
  <c r="AB338" i="1"/>
  <c r="AA339" i="1"/>
  <c r="AA340" i="1"/>
  <c r="AB340" i="1"/>
  <c r="AA341" i="1"/>
  <c r="AB341" i="1"/>
  <c r="AA342" i="1"/>
  <c r="AA343" i="1"/>
  <c r="AA344" i="1"/>
  <c r="AA345" i="1"/>
  <c r="AB345" i="1"/>
  <c r="AA346" i="1"/>
  <c r="AA347" i="1"/>
  <c r="AB347" i="1"/>
  <c r="AA348" i="1"/>
  <c r="AA349" i="1"/>
  <c r="AB349" i="1"/>
  <c r="AA350" i="1"/>
  <c r="AA351" i="1"/>
  <c r="AB351" i="1"/>
  <c r="AA352" i="1"/>
  <c r="AB352" i="1"/>
  <c r="AA353" i="1"/>
  <c r="AB353" i="1"/>
  <c r="AA354" i="1"/>
  <c r="AB354" i="1"/>
  <c r="AA355" i="1"/>
  <c r="AB355" i="1"/>
  <c r="AA356" i="1"/>
  <c r="AB356" i="1"/>
  <c r="AA357" i="1"/>
  <c r="AB357" i="1"/>
  <c r="AA358" i="1"/>
  <c r="AB358" i="1"/>
  <c r="AA359" i="1"/>
  <c r="AB359" i="1"/>
  <c r="AA360" i="1"/>
  <c r="AA361" i="1"/>
  <c r="AB361" i="1"/>
  <c r="AA362" i="1"/>
  <c r="AB362" i="1"/>
  <c r="AA363" i="1"/>
  <c r="AB363" i="1"/>
  <c r="AA364" i="1"/>
  <c r="AA365" i="1"/>
  <c r="AB365" i="1"/>
  <c r="AA366" i="1"/>
  <c r="AB366" i="1"/>
  <c r="AA367" i="1"/>
  <c r="AB367" i="1"/>
  <c r="AA368" i="1"/>
  <c r="AB368" i="1"/>
  <c r="AA369" i="1"/>
  <c r="AA370" i="1"/>
  <c r="AB370" i="1"/>
  <c r="AA371" i="1"/>
  <c r="AB371" i="1"/>
  <c r="AA372" i="1"/>
  <c r="AB372" i="1"/>
  <c r="AA373" i="1"/>
  <c r="AA374" i="1"/>
  <c r="AB374" i="1"/>
  <c r="AA375" i="1"/>
  <c r="AB375" i="1"/>
  <c r="AA376" i="1"/>
  <c r="AB376" i="1"/>
  <c r="AA377" i="1"/>
  <c r="AB377" i="1"/>
  <c r="AA378" i="1"/>
  <c r="AB378" i="1"/>
  <c r="AA379" i="1"/>
  <c r="AB379" i="1"/>
  <c r="AA380" i="1"/>
  <c r="AB380" i="1"/>
  <c r="AA381" i="1"/>
  <c r="AA382" i="1"/>
  <c r="AB382" i="1"/>
  <c r="AA459" i="1"/>
  <c r="AB459" i="1"/>
  <c r="AA460" i="1"/>
  <c r="AB460" i="1"/>
  <c r="AA461" i="1"/>
  <c r="AB461" i="1"/>
  <c r="AA462" i="1"/>
  <c r="AB462" i="1"/>
  <c r="AA463" i="1"/>
  <c r="AB463" i="1"/>
  <c r="AA464" i="1"/>
  <c r="AB464" i="1"/>
  <c r="AA465" i="1"/>
  <c r="AB465" i="1"/>
  <c r="AA466" i="1"/>
  <c r="AA467" i="1"/>
  <c r="AB467" i="1"/>
  <c r="AA468" i="1"/>
  <c r="AB468" i="1"/>
  <c r="AA469" i="1"/>
  <c r="AB469" i="1"/>
  <c r="AA470" i="1"/>
  <c r="AB470" i="1"/>
  <c r="AA471" i="1"/>
  <c r="AB471" i="1"/>
  <c r="AA472" i="1"/>
  <c r="AA473" i="1"/>
  <c r="AA474" i="1"/>
  <c r="AB474" i="1"/>
  <c r="AA475" i="1"/>
  <c r="AB475" i="1"/>
  <c r="AA476" i="1"/>
  <c r="AB476" i="1"/>
  <c r="AA477" i="1"/>
  <c r="AB477" i="1"/>
  <c r="AA478" i="1"/>
  <c r="AA479" i="1"/>
  <c r="AA480" i="1"/>
  <c r="AA481" i="1"/>
  <c r="AB481" i="1"/>
  <c r="AA482" i="1"/>
  <c r="AB482" i="1"/>
  <c r="AA483" i="1"/>
  <c r="AB483" i="1"/>
  <c r="AA484" i="1"/>
  <c r="AB484" i="1"/>
  <c r="AA485" i="1"/>
  <c r="AA486" i="1"/>
  <c r="AB486" i="1"/>
  <c r="AA487" i="1"/>
  <c r="AB487" i="1"/>
  <c r="AA488" i="1"/>
  <c r="AA489" i="1"/>
  <c r="AA490" i="1"/>
  <c r="AB490" i="1"/>
  <c r="AA491" i="1"/>
  <c r="AA492" i="1"/>
  <c r="AB492" i="1"/>
  <c r="AA493" i="1"/>
  <c r="AB493" i="1"/>
  <c r="AA494" i="1"/>
  <c r="AB494" i="1"/>
  <c r="AA495" i="1"/>
  <c r="AB495" i="1"/>
  <c r="AA496" i="1"/>
  <c r="AB496" i="1"/>
  <c r="AA497" i="1"/>
  <c r="AB497" i="1"/>
  <c r="AA498" i="1"/>
  <c r="AB498" i="1"/>
  <c r="AA499" i="1"/>
  <c r="AB499" i="1"/>
  <c r="AA500" i="1"/>
  <c r="AB500" i="1"/>
  <c r="AA501" i="1"/>
  <c r="AB501" i="1"/>
  <c r="AA502" i="1"/>
  <c r="AB502" i="1"/>
  <c r="AA503" i="1"/>
  <c r="AB503" i="1"/>
  <c r="AA504" i="1"/>
  <c r="AB504" i="1"/>
  <c r="AA505" i="1"/>
  <c r="AA506" i="1"/>
  <c r="AB506" i="1"/>
  <c r="AA507" i="1"/>
  <c r="AB507" i="1"/>
  <c r="AA508" i="1"/>
  <c r="AB508" i="1"/>
  <c r="AA509" i="1"/>
  <c r="AB509" i="1"/>
  <c r="AA510" i="1"/>
  <c r="AB510" i="1"/>
  <c r="AA511" i="1"/>
  <c r="AB511" i="1"/>
  <c r="AA512" i="1"/>
  <c r="AB512" i="1"/>
  <c r="AA513" i="1"/>
  <c r="AB513" i="1"/>
  <c r="AA514" i="1"/>
  <c r="AB514" i="1"/>
  <c r="AA515" i="1"/>
  <c r="AB515" i="1"/>
  <c r="AA516" i="1"/>
  <c r="AB516" i="1"/>
  <c r="AA517" i="1"/>
  <c r="AB517" i="1"/>
  <c r="AA518" i="1"/>
  <c r="AB518" i="1"/>
  <c r="AA519" i="1"/>
  <c r="AB519" i="1"/>
  <c r="AA520" i="1"/>
  <c r="AA521" i="1"/>
  <c r="AB521" i="1"/>
  <c r="AA522" i="1"/>
  <c r="AB522" i="1"/>
  <c r="AA523" i="1"/>
  <c r="AB523" i="1"/>
  <c r="AA524" i="1"/>
  <c r="AB524" i="1"/>
  <c r="AA525" i="1"/>
  <c r="AA526" i="1"/>
  <c r="AB526" i="1"/>
  <c r="AA527" i="1"/>
  <c r="AB527" i="1"/>
  <c r="AA528" i="1"/>
  <c r="AB528" i="1"/>
  <c r="AA529" i="1"/>
  <c r="AB529" i="1"/>
  <c r="AA530" i="1"/>
  <c r="AB530" i="1"/>
  <c r="AA531" i="1"/>
  <c r="AB531" i="1"/>
  <c r="AA532" i="1"/>
  <c r="AB532" i="1"/>
  <c r="AA533" i="1"/>
  <c r="AB533" i="1"/>
  <c r="AA534" i="1"/>
  <c r="AA535" i="1"/>
  <c r="AB535" i="1"/>
  <c r="AA536" i="1"/>
  <c r="AB536" i="1"/>
  <c r="AA537" i="1"/>
  <c r="AB537" i="1"/>
  <c r="AA538" i="1"/>
  <c r="AA539" i="1"/>
  <c r="AB539" i="1"/>
  <c r="AA540" i="1"/>
  <c r="AB540" i="1"/>
  <c r="AA541" i="1"/>
  <c r="AB541" i="1"/>
  <c r="AA542" i="1"/>
  <c r="AB542" i="1"/>
  <c r="AA543" i="1"/>
  <c r="AA544" i="1"/>
  <c r="AB544" i="1"/>
  <c r="AA545" i="1"/>
  <c r="AB545" i="1"/>
  <c r="AA546" i="1"/>
  <c r="AA547" i="1"/>
  <c r="AB547" i="1"/>
  <c r="AA548" i="1"/>
  <c r="AA549" i="1"/>
  <c r="AA550" i="1"/>
  <c r="AA551" i="1"/>
  <c r="AB551" i="1"/>
  <c r="AA552" i="1"/>
  <c r="AB552" i="1"/>
  <c r="AA553" i="1"/>
  <c r="AA554" i="1"/>
  <c r="AB554" i="1"/>
  <c r="AA555" i="1"/>
  <c r="AB555" i="1"/>
  <c r="AA556" i="1"/>
  <c r="AB556" i="1"/>
  <c r="AA557" i="1"/>
  <c r="AA558" i="1"/>
  <c r="AB558" i="1"/>
  <c r="AA559" i="1"/>
  <c r="AA560" i="1"/>
  <c r="AB560" i="1"/>
  <c r="AA561" i="1"/>
  <c r="AB561" i="1"/>
  <c r="AA562" i="1"/>
  <c r="AB562" i="1"/>
  <c r="AA563" i="1"/>
  <c r="AB563" i="1"/>
  <c r="AA564" i="1"/>
  <c r="AB564" i="1"/>
  <c r="AA565" i="1"/>
  <c r="AB565" i="1"/>
  <c r="AA566" i="1"/>
  <c r="AA567" i="1"/>
  <c r="AA568" i="1"/>
  <c r="AB568" i="1"/>
  <c r="AA569" i="1"/>
  <c r="AA570" i="1"/>
  <c r="AA571" i="1"/>
  <c r="AB571" i="1"/>
  <c r="AA572" i="1"/>
  <c r="AB572" i="1"/>
  <c r="AA573" i="1"/>
  <c r="AB573" i="1"/>
  <c r="AA574" i="1"/>
  <c r="AB574" i="1"/>
  <c r="AA575" i="1"/>
  <c r="AB575" i="1"/>
  <c r="AA576" i="1"/>
  <c r="AB576" i="1"/>
  <c r="AA577" i="1"/>
  <c r="AA578" i="1"/>
  <c r="AB578" i="1"/>
  <c r="AA579" i="1"/>
  <c r="AB579" i="1"/>
  <c r="AA580" i="1"/>
  <c r="AB580" i="1"/>
  <c r="AA581" i="1"/>
  <c r="AB581" i="1"/>
  <c r="AA582" i="1"/>
  <c r="AB582" i="1"/>
  <c r="AA583" i="1"/>
  <c r="AB583" i="1"/>
  <c r="AA584" i="1"/>
  <c r="AB584" i="1"/>
  <c r="AA585" i="1"/>
  <c r="AB585" i="1"/>
  <c r="AA586" i="1"/>
  <c r="AB586" i="1"/>
  <c r="AA587" i="1"/>
  <c r="AB587" i="1"/>
  <c r="AA588" i="1"/>
  <c r="AB588" i="1"/>
  <c r="AA589" i="1"/>
  <c r="AB589" i="1"/>
  <c r="AA590" i="1"/>
  <c r="AB590" i="1"/>
  <c r="AA591" i="1"/>
  <c r="AB591" i="1"/>
  <c r="AA592" i="1"/>
  <c r="AB592" i="1"/>
  <c r="AA593" i="1"/>
  <c r="AB593" i="1"/>
  <c r="AA594" i="1"/>
  <c r="AB594" i="1"/>
  <c r="AA595" i="1"/>
  <c r="AB595" i="1"/>
  <c r="AA596" i="1"/>
  <c r="AA597" i="1"/>
  <c r="AB597" i="1"/>
  <c r="AA598" i="1"/>
  <c r="AB598" i="1"/>
  <c r="AA599" i="1"/>
  <c r="AB599" i="1"/>
  <c r="AA600" i="1"/>
  <c r="AB600" i="1"/>
  <c r="AA601" i="1"/>
  <c r="AB601" i="1"/>
  <c r="AA602" i="1"/>
  <c r="AB602" i="1"/>
  <c r="AA603" i="1"/>
  <c r="AB603" i="1"/>
  <c r="AA604" i="1"/>
  <c r="AB604" i="1"/>
  <c r="AA605" i="1"/>
  <c r="AB605" i="1"/>
  <c r="AA606" i="1"/>
  <c r="AA607" i="1"/>
  <c r="AB607" i="1"/>
  <c r="AA608" i="1"/>
  <c r="AB608" i="1"/>
  <c r="AA609" i="1"/>
  <c r="AB609" i="1"/>
  <c r="AA610" i="1"/>
  <c r="AB610" i="1"/>
  <c r="AA611" i="1"/>
  <c r="AB611" i="1"/>
  <c r="AA612" i="1"/>
  <c r="AB612" i="1"/>
  <c r="AA613" i="1"/>
  <c r="AB613" i="1"/>
  <c r="AA614" i="1"/>
  <c r="AB614" i="1"/>
  <c r="AA615" i="1"/>
  <c r="AA616" i="1"/>
  <c r="AB616" i="1"/>
  <c r="AA617" i="1"/>
  <c r="AA618" i="1"/>
  <c r="AA619" i="1"/>
  <c r="AA620" i="1"/>
  <c r="AB620" i="1"/>
  <c r="AA621" i="1"/>
  <c r="AA622" i="1"/>
  <c r="AB622" i="1"/>
  <c r="AA623" i="1"/>
  <c r="AA624" i="1"/>
  <c r="AA625" i="1"/>
  <c r="AA626" i="1"/>
  <c r="AA627" i="1"/>
  <c r="AB627" i="1"/>
  <c r="AA628" i="1"/>
  <c r="AA629" i="1"/>
  <c r="AA630" i="1"/>
  <c r="AA631" i="1"/>
  <c r="AB631" i="1"/>
  <c r="AA632" i="1"/>
  <c r="AA633" i="1"/>
  <c r="AB633" i="1"/>
  <c r="AA634" i="1"/>
  <c r="AA635" i="1"/>
  <c r="AA636" i="1"/>
  <c r="AB636" i="1"/>
  <c r="AA637" i="1"/>
  <c r="AA638" i="1"/>
  <c r="AA639" i="1"/>
  <c r="AB639" i="1"/>
  <c r="AA640" i="1"/>
  <c r="AB640" i="1"/>
  <c r="AA641" i="1"/>
  <c r="AA642" i="1"/>
  <c r="AA643" i="1"/>
  <c r="AB643" i="1"/>
  <c r="AA644" i="1"/>
  <c r="AB644" i="1"/>
  <c r="AA645" i="1"/>
  <c r="AB645" i="1"/>
  <c r="AA646" i="1"/>
  <c r="AB646" i="1"/>
  <c r="AA647" i="1"/>
  <c r="AB647" i="1"/>
  <c r="AA648" i="1"/>
  <c r="AB648" i="1"/>
  <c r="AA649" i="1"/>
  <c r="AB649" i="1"/>
  <c r="AA650" i="1"/>
  <c r="AB650" i="1"/>
  <c r="AA651" i="1"/>
  <c r="AB651" i="1"/>
  <c r="AA652" i="1"/>
  <c r="AB652" i="1"/>
  <c r="AA653" i="1"/>
  <c r="AB653" i="1"/>
  <c r="AA654" i="1"/>
  <c r="AB654" i="1"/>
  <c r="AA655" i="1"/>
  <c r="AB655" i="1"/>
  <c r="AA656" i="1"/>
  <c r="AB656" i="1"/>
  <c r="AA657" i="1"/>
  <c r="AA658" i="1"/>
  <c r="AB658" i="1"/>
  <c r="AA659" i="1"/>
  <c r="AB659" i="1"/>
  <c r="AA660" i="1"/>
  <c r="AB660" i="1"/>
  <c r="AA661" i="1"/>
  <c r="AB661" i="1"/>
  <c r="AA662" i="1"/>
  <c r="AA663" i="1"/>
  <c r="AA664" i="1"/>
  <c r="AB664" i="1"/>
  <c r="AA665" i="1"/>
  <c r="AB665" i="1"/>
  <c r="AA666" i="1"/>
  <c r="AB666" i="1"/>
  <c r="AA667" i="1"/>
  <c r="AB667" i="1"/>
  <c r="AA668" i="1"/>
  <c r="AA669" i="1"/>
  <c r="AA670" i="1"/>
  <c r="AB670" i="1"/>
  <c r="AA671" i="1"/>
  <c r="AA672" i="1"/>
  <c r="AB672" i="1"/>
  <c r="AA673" i="1"/>
  <c r="AB673" i="1"/>
  <c r="AA674" i="1"/>
  <c r="AB674" i="1"/>
  <c r="AA675" i="1"/>
  <c r="AB675" i="1"/>
  <c r="AA676" i="1"/>
  <c r="AB676" i="1"/>
  <c r="AA677" i="1"/>
  <c r="AB677" i="1"/>
  <c r="AA678" i="1"/>
  <c r="AB678" i="1"/>
  <c r="AA679" i="1"/>
  <c r="AB679" i="1"/>
  <c r="AA680" i="1"/>
  <c r="AB680" i="1"/>
  <c r="AA681" i="1"/>
  <c r="AB681" i="1"/>
  <c r="AA682" i="1"/>
  <c r="AB682" i="1"/>
  <c r="AA683" i="1"/>
  <c r="AB683" i="1"/>
  <c r="AA684" i="1"/>
  <c r="AB684" i="1"/>
  <c r="AA685" i="1"/>
  <c r="AB685" i="1"/>
  <c r="AA686" i="1"/>
  <c r="AB686" i="1"/>
  <c r="AA687" i="1"/>
  <c r="AB687" i="1"/>
  <c r="AA688" i="1"/>
  <c r="AB688" i="1"/>
  <c r="AA689" i="1"/>
  <c r="AA690" i="1"/>
  <c r="AB690" i="1"/>
  <c r="AA691" i="1"/>
  <c r="AB691" i="1"/>
  <c r="AA692" i="1"/>
  <c r="AB692" i="1"/>
  <c r="AA693" i="1"/>
  <c r="AB693" i="1"/>
  <c r="AA694" i="1"/>
  <c r="AB694" i="1"/>
  <c r="AA695" i="1"/>
  <c r="AA696" i="1"/>
  <c r="AB696" i="1"/>
  <c r="AA697" i="1"/>
  <c r="AB697" i="1"/>
  <c r="AA698" i="1"/>
  <c r="AA699" i="1"/>
  <c r="AA700" i="1"/>
  <c r="AA701" i="1"/>
  <c r="AA702" i="1"/>
  <c r="AB702" i="1"/>
  <c r="AA703" i="1"/>
  <c r="AB703" i="1"/>
  <c r="AA704" i="1"/>
  <c r="AB704" i="1"/>
  <c r="AA705" i="1"/>
  <c r="AB705" i="1"/>
  <c r="AA706" i="1"/>
  <c r="AA707" i="1"/>
  <c r="AB707" i="1"/>
  <c r="AA708" i="1"/>
  <c r="AA709" i="1"/>
  <c r="AA710" i="1"/>
  <c r="AB710" i="1"/>
  <c r="AA711" i="1"/>
  <c r="AA712" i="1"/>
  <c r="AB712" i="1"/>
  <c r="AA713" i="1"/>
  <c r="AB713" i="1"/>
  <c r="AA714" i="1"/>
  <c r="AB714" i="1"/>
  <c r="AA715" i="1"/>
  <c r="AB715" i="1"/>
  <c r="AA716" i="1"/>
  <c r="AB716" i="1"/>
  <c r="AA717" i="1"/>
  <c r="AB717" i="1"/>
  <c r="AA718" i="1"/>
  <c r="AB718" i="1"/>
  <c r="AA719" i="1"/>
  <c r="AB719" i="1"/>
  <c r="AA720" i="1"/>
  <c r="AB720" i="1"/>
  <c r="AA721" i="1"/>
  <c r="AA722" i="1"/>
  <c r="AB722" i="1"/>
  <c r="AA723" i="1"/>
  <c r="AA724" i="1"/>
  <c r="AB724" i="1"/>
  <c r="AA725" i="1"/>
  <c r="AB725" i="1"/>
  <c r="AA726" i="1"/>
  <c r="AB726" i="1"/>
  <c r="AA727" i="1"/>
  <c r="AA728" i="1"/>
  <c r="AB728" i="1"/>
  <c r="AA729" i="1"/>
  <c r="AB729" i="1"/>
  <c r="AA730" i="1"/>
  <c r="AB730" i="1"/>
  <c r="AA731" i="1"/>
  <c r="AB731" i="1"/>
  <c r="AA732" i="1"/>
  <c r="AB732" i="1"/>
  <c r="AA733" i="1"/>
  <c r="AB733" i="1"/>
  <c r="AA734" i="1"/>
  <c r="AA735" i="1"/>
  <c r="AB735" i="1"/>
  <c r="AA736" i="1"/>
  <c r="AA737" i="1"/>
  <c r="AB737" i="1"/>
  <c r="AA738" i="1"/>
  <c r="AB738" i="1"/>
  <c r="AA739" i="1"/>
  <c r="AB739" i="1"/>
  <c r="AA740" i="1"/>
  <c r="AA741" i="1"/>
  <c r="AB741" i="1"/>
  <c r="AA742" i="1"/>
  <c r="AB742" i="1"/>
  <c r="AA743" i="1"/>
  <c r="AB743" i="1"/>
  <c r="AA744" i="1"/>
  <c r="AB744" i="1"/>
  <c r="AA745" i="1"/>
  <c r="AB745" i="1"/>
  <c r="AA746" i="1"/>
  <c r="AB746" i="1"/>
  <c r="AA747" i="1"/>
  <c r="AB747" i="1"/>
  <c r="AA748" i="1"/>
  <c r="AB748" i="1"/>
  <c r="AA749" i="1"/>
  <c r="AB749" i="1"/>
  <c r="AA750" i="1"/>
  <c r="AA751" i="1"/>
  <c r="AB751" i="1"/>
  <c r="AA752" i="1"/>
  <c r="AA753" i="1"/>
  <c r="AA754" i="1"/>
  <c r="AB754" i="1"/>
  <c r="AA755" i="1"/>
  <c r="AB755" i="1"/>
  <c r="AA756" i="1"/>
  <c r="AB756" i="1"/>
  <c r="AA757" i="1"/>
  <c r="AB757" i="1"/>
  <c r="AA758" i="1"/>
  <c r="AB758" i="1"/>
  <c r="AA759" i="1"/>
  <c r="AB759" i="1"/>
  <c r="AA760" i="1"/>
  <c r="AB760" i="1"/>
  <c r="AA761" i="1"/>
  <c r="AB761" i="1"/>
  <c r="AA762" i="1"/>
  <c r="AB762" i="1"/>
  <c r="AA763" i="1"/>
  <c r="AB763" i="1"/>
  <c r="AA764" i="1"/>
  <c r="AB764" i="1"/>
  <c r="AA765" i="1"/>
  <c r="AB765" i="1"/>
  <c r="AA766" i="1"/>
  <c r="AA767" i="1"/>
  <c r="AB767" i="1"/>
  <c r="AA768" i="1"/>
  <c r="AB768" i="1"/>
  <c r="AA769" i="1"/>
  <c r="AB769" i="1"/>
  <c r="AA770" i="1"/>
  <c r="AB770" i="1"/>
  <c r="AA771" i="1"/>
  <c r="AA772" i="1"/>
  <c r="AB772" i="1"/>
  <c r="AA773" i="1"/>
  <c r="AB773" i="1"/>
  <c r="AA774" i="1"/>
  <c r="AA775" i="1"/>
  <c r="AA776" i="1"/>
  <c r="AA777" i="1"/>
  <c r="AB777" i="1"/>
  <c r="AA778" i="1"/>
  <c r="AB778" i="1"/>
  <c r="AA779" i="1"/>
  <c r="AB779" i="1"/>
  <c r="AA780" i="1"/>
  <c r="AB780" i="1"/>
  <c r="AA781" i="1"/>
  <c r="AB781" i="1"/>
  <c r="AA782" i="1"/>
  <c r="AB782" i="1"/>
  <c r="AA783" i="1"/>
  <c r="AA784" i="1"/>
  <c r="AA785" i="1"/>
  <c r="AB785" i="1"/>
  <c r="AA786" i="1"/>
  <c r="AA787" i="1"/>
  <c r="AA788" i="1"/>
  <c r="AA789" i="1"/>
  <c r="AB789" i="1"/>
  <c r="AA790" i="1"/>
  <c r="AA791" i="1"/>
  <c r="AB791" i="1"/>
  <c r="AA792" i="1"/>
  <c r="AB792" i="1"/>
  <c r="AA793" i="1"/>
  <c r="AB793" i="1"/>
  <c r="AA794" i="1"/>
  <c r="AB794" i="1"/>
  <c r="AA795" i="1"/>
  <c r="AB795" i="1"/>
  <c r="AA796" i="1"/>
  <c r="AA797" i="1"/>
  <c r="AB797" i="1"/>
  <c r="AA798" i="1"/>
  <c r="AB798" i="1"/>
  <c r="AA799" i="1"/>
  <c r="AB799" i="1"/>
  <c r="AA800" i="1"/>
  <c r="AA801" i="1"/>
  <c r="AB801" i="1"/>
  <c r="AA802" i="1"/>
  <c r="AB802" i="1"/>
  <c r="AA803" i="1"/>
  <c r="AB803" i="1"/>
  <c r="AA804" i="1"/>
  <c r="AA805" i="1"/>
  <c r="AB805" i="1"/>
  <c r="AA806" i="1"/>
  <c r="AB806" i="1"/>
  <c r="AA807" i="1"/>
  <c r="AB807" i="1"/>
  <c r="AA808" i="1"/>
  <c r="AA809" i="1"/>
  <c r="AB809" i="1"/>
  <c r="AA810" i="1"/>
  <c r="AB810" i="1"/>
  <c r="AA811" i="1"/>
  <c r="AB811" i="1"/>
  <c r="AA812" i="1"/>
  <c r="AB812" i="1"/>
  <c r="AA813" i="1"/>
  <c r="AB813" i="1"/>
  <c r="AA814" i="1"/>
  <c r="AA815" i="1"/>
  <c r="AA816" i="1"/>
  <c r="AB816" i="1"/>
  <c r="AA817" i="1"/>
  <c r="AB817" i="1"/>
  <c r="AA818" i="1"/>
  <c r="AA819" i="1"/>
  <c r="AB819" i="1"/>
  <c r="AA820" i="1"/>
  <c r="AB820" i="1"/>
  <c r="AA821" i="1"/>
  <c r="AB821" i="1"/>
  <c r="AA822" i="1"/>
  <c r="AA823" i="1"/>
  <c r="AB823" i="1"/>
  <c r="AA824" i="1"/>
  <c r="AB824" i="1"/>
  <c r="AA825" i="1"/>
  <c r="AB825" i="1"/>
  <c r="AA826" i="1"/>
  <c r="AB826" i="1"/>
  <c r="AA827" i="1"/>
  <c r="AB827" i="1"/>
  <c r="AA828" i="1"/>
  <c r="AA829" i="1"/>
  <c r="AB829" i="1"/>
  <c r="AA830" i="1"/>
  <c r="AA831" i="1"/>
  <c r="AB831" i="1"/>
  <c r="AA832" i="1"/>
  <c r="AA833" i="1"/>
  <c r="AA834" i="1"/>
  <c r="AA835" i="1"/>
  <c r="AA836" i="1"/>
  <c r="AB836" i="1"/>
  <c r="AA837" i="1"/>
  <c r="AA838" i="1"/>
  <c r="AA839" i="1"/>
  <c r="AB839" i="1"/>
  <c r="AA840" i="1"/>
  <c r="AB840" i="1"/>
  <c r="AA841" i="1"/>
  <c r="AA842" i="1"/>
  <c r="AB842" i="1"/>
  <c r="AA843" i="1"/>
  <c r="AA844" i="1"/>
  <c r="AB844" i="1"/>
  <c r="AA845" i="1"/>
  <c r="AB845" i="1"/>
  <c r="AA846" i="1"/>
  <c r="AB846" i="1"/>
  <c r="AA847" i="1"/>
  <c r="AB847" i="1"/>
  <c r="AA848" i="1"/>
  <c r="AB848" i="1"/>
  <c r="AA849" i="1"/>
  <c r="AB849" i="1"/>
  <c r="AA850" i="1"/>
  <c r="AB850" i="1"/>
  <c r="AA851" i="1"/>
  <c r="AB851" i="1"/>
  <c r="AA852" i="1"/>
  <c r="AA853" i="1"/>
  <c r="AA854" i="1"/>
  <c r="AA855" i="1"/>
  <c r="AA856" i="1"/>
  <c r="AA857" i="1"/>
  <c r="AA858" i="1"/>
  <c r="AB858" i="1"/>
  <c r="AA859" i="1"/>
  <c r="AA860" i="1"/>
  <c r="AA861" i="1"/>
  <c r="AB861" i="1"/>
  <c r="AA862" i="1"/>
  <c r="AA863" i="1"/>
  <c r="AA864" i="1"/>
  <c r="AA865" i="1"/>
  <c r="AA866" i="1"/>
  <c r="AB866" i="1"/>
  <c r="AA867" i="1"/>
  <c r="AA868" i="1"/>
  <c r="AB868" i="1"/>
  <c r="AA869" i="1"/>
  <c r="AA870" i="1"/>
  <c r="AA871" i="1"/>
  <c r="AB871" i="1"/>
  <c r="AA872" i="1"/>
  <c r="AA873" i="1"/>
  <c r="AA874" i="1"/>
  <c r="AA875" i="1"/>
  <c r="AA876" i="1"/>
  <c r="AA877" i="1"/>
  <c r="AB877" i="1"/>
  <c r="AA878" i="1"/>
  <c r="AA879" i="1"/>
  <c r="AB879" i="1"/>
  <c r="AA880" i="1"/>
  <c r="AA881" i="1"/>
  <c r="AB881" i="1"/>
  <c r="AA882" i="1"/>
  <c r="AA883" i="1"/>
  <c r="AB883" i="1"/>
  <c r="AA884" i="1"/>
  <c r="AA885" i="1"/>
  <c r="AB885" i="1"/>
  <c r="AA886" i="1"/>
  <c r="AB886" i="1"/>
  <c r="AA887" i="1"/>
  <c r="AB887" i="1"/>
  <c r="AA888" i="1"/>
  <c r="AA889" i="1"/>
  <c r="AB889" i="1"/>
  <c r="AA890" i="1"/>
  <c r="AB890" i="1"/>
  <c r="AA891" i="1"/>
  <c r="AA892" i="1"/>
  <c r="AA893" i="1"/>
  <c r="AB893" i="1"/>
  <c r="AA894" i="1"/>
  <c r="AB894" i="1"/>
  <c r="AA895" i="1"/>
  <c r="AB895" i="1"/>
  <c r="AA896" i="1"/>
  <c r="AB896" i="1"/>
  <c r="AA897" i="1"/>
  <c r="AB897" i="1"/>
  <c r="AA898" i="1"/>
  <c r="AB898" i="1"/>
  <c r="AA899" i="1"/>
  <c r="AB899" i="1"/>
  <c r="AA900" i="1"/>
  <c r="AA901" i="1"/>
  <c r="AB901" i="1"/>
  <c r="AA902" i="1"/>
  <c r="AB902" i="1"/>
  <c r="AA903" i="1"/>
  <c r="AB903" i="1"/>
  <c r="AA904" i="1"/>
  <c r="AA905" i="1"/>
  <c r="AB905" i="1"/>
  <c r="AA906" i="1"/>
  <c r="AB906" i="1"/>
  <c r="AA907" i="1"/>
  <c r="AA908" i="1"/>
  <c r="AA909" i="1"/>
  <c r="AB909" i="1"/>
  <c r="AA910" i="1"/>
  <c r="AB910" i="1"/>
  <c r="AA911" i="1"/>
  <c r="AA912" i="1"/>
  <c r="AB912" i="1"/>
  <c r="AA913" i="1"/>
  <c r="AB913" i="1"/>
  <c r="AA2" i="1"/>
  <c r="AB102" i="1" l="1"/>
  <c r="AB182" i="1"/>
  <c r="AB488" i="1"/>
  <c r="AB559" i="1"/>
  <c r="AB818" i="1"/>
  <c r="AB841" i="1"/>
  <c r="AB170" i="1"/>
  <c r="AB184" i="1"/>
  <c r="AB235" i="1"/>
  <c r="AB315" i="1"/>
  <c r="AB332" i="1"/>
  <c r="AB485" i="1"/>
  <c r="AB538" i="1"/>
  <c r="AB223" i="1"/>
  <c r="AB234" i="1"/>
  <c r="AB288" i="1"/>
  <c r="AB334" i="1"/>
  <c r="AB224" i="1"/>
  <c r="AB629" i="1"/>
  <c r="AB774" i="1"/>
  <c r="AB230" i="1"/>
  <c r="AB274" i="1"/>
  <c r="AB286" i="1"/>
  <c r="AB292" i="1"/>
  <c r="AB250" i="1"/>
  <c r="AB135" i="1"/>
  <c r="AB304" i="1"/>
  <c r="AB873" i="1"/>
  <c r="AB123" i="1"/>
  <c r="AB149" i="1"/>
  <c r="AB154" i="1"/>
  <c r="AB156" i="1"/>
  <c r="AB158" i="1"/>
  <c r="AB172" i="1"/>
  <c r="AB294" i="1"/>
  <c r="AB299" i="1"/>
  <c r="AB314" i="1"/>
  <c r="AB520" i="1"/>
  <c r="AB534" i="1"/>
  <c r="AB698" i="1"/>
  <c r="AB859" i="1"/>
  <c r="AB882" i="1"/>
  <c r="AB147" i="1"/>
  <c r="AB150" i="1"/>
  <c r="AB163" i="1"/>
  <c r="AB279" i="1"/>
  <c r="AB297" i="1"/>
  <c r="AB662" i="1"/>
  <c r="AB671" i="1"/>
  <c r="AB146" i="1"/>
  <c r="AB306" i="1"/>
  <c r="AB311" i="1"/>
  <c r="AB875" i="1"/>
  <c r="AB153" i="1"/>
  <c r="AB283" i="1"/>
  <c r="AB864" i="1"/>
  <c r="AB876" i="1"/>
  <c r="AB136" i="1"/>
  <c r="AB148" i="1"/>
  <c r="AB176" i="1"/>
  <c r="AB284" i="1"/>
  <c r="AB303" i="1"/>
  <c r="AB309" i="1"/>
  <c r="AB880" i="1"/>
  <c r="AB137" i="1"/>
  <c r="AB144" i="1"/>
  <c r="AB164" i="1"/>
  <c r="AB168" i="1"/>
  <c r="AB285" i="1"/>
  <c r="AB318" i="1"/>
  <c r="AB364" i="1"/>
  <c r="AB543" i="1"/>
  <c r="AB384" i="1"/>
  <c r="AB625" i="1"/>
  <c r="AB701" i="1"/>
  <c r="AB472" i="1"/>
  <c r="AB505" i="1"/>
  <c r="AB856" i="1"/>
  <c r="AB254" i="1"/>
  <c r="AB637" i="1"/>
  <c r="AB689" i="1"/>
  <c r="AB109" i="1"/>
  <c r="AB177" i="1"/>
  <c r="AB325" i="1"/>
  <c r="AB122" i="1"/>
  <c r="AB180" i="1"/>
  <c r="AB326" i="1"/>
  <c r="AB478" i="1"/>
  <c r="AB548" i="1"/>
  <c r="AB111" i="1"/>
  <c r="AB369" i="1"/>
  <c r="AB550" i="1"/>
  <c r="AB907" i="1"/>
  <c r="AB776" i="1"/>
  <c r="AB112" i="1"/>
  <c r="AB183" i="1"/>
  <c r="AB360" i="1"/>
  <c r="AB466" i="1"/>
  <c r="AB473" i="1"/>
  <c r="AB329" i="1"/>
  <c r="AB479" i="1"/>
  <c r="AB700" i="1"/>
  <c r="AB775" i="1"/>
  <c r="AB243" i="1"/>
  <c r="AB113" i="1"/>
  <c r="AB229" i="1"/>
  <c r="AB237" i="1"/>
  <c r="AB549" i="1"/>
  <c r="AB624" i="1"/>
  <c r="AB330" i="1"/>
  <c r="AB546" i="1"/>
  <c r="AB615" i="1"/>
  <c r="AB634" i="1"/>
  <c r="AB830" i="1"/>
  <c r="AB480" i="1"/>
  <c r="AB699" i="1"/>
  <c r="AB189" i="1"/>
  <c r="AB171" i="1"/>
  <c r="AB192" i="1"/>
  <c r="AB195" i="1"/>
  <c r="AB244" i="1"/>
  <c r="AB257" i="1"/>
  <c r="AB258" i="1"/>
  <c r="AB268" i="1"/>
  <c r="AB626" i="1"/>
  <c r="AB822" i="1"/>
  <c r="AB828" i="1"/>
  <c r="AB854" i="1"/>
  <c r="AB872" i="1"/>
  <c r="AB884" i="1"/>
  <c r="AB892" i="1"/>
  <c r="AB193" i="1"/>
  <c r="AB619" i="1"/>
  <c r="AB874" i="1"/>
  <c r="AB900" i="1"/>
  <c r="AB270" i="1"/>
  <c r="AB628" i="1"/>
  <c r="AB852" i="1"/>
  <c r="AB867" i="1"/>
  <c r="AB577" i="1"/>
  <c r="AB596" i="1"/>
  <c r="AB838" i="1"/>
  <c r="AB860" i="1"/>
  <c r="AB863" i="1"/>
  <c r="AB878" i="1"/>
  <c r="AB908" i="1"/>
  <c r="AB635" i="1"/>
  <c r="AB888" i="1"/>
  <c r="AB837" i="1"/>
  <c r="AB891" i="1"/>
  <c r="AB2" i="1"/>
  <c r="AB187" i="1"/>
  <c r="AB296" i="1"/>
  <c r="AB621" i="1"/>
  <c r="AB129" i="1"/>
  <c r="AB200" i="1"/>
  <c r="AB606" i="1"/>
  <c r="AB342" i="1"/>
  <c r="AB491" i="1"/>
  <c r="AB708" i="1"/>
  <c r="AB784" i="1"/>
  <c r="AB302" i="1"/>
  <c r="AB862" i="1"/>
  <c r="AB199" i="1"/>
  <c r="AB489" i="1"/>
  <c r="AB832" i="1"/>
  <c r="AB339" i="1"/>
  <c r="AB553" i="1"/>
  <c r="AB557" i="1"/>
  <c r="AB657" i="1"/>
  <c r="AB857" i="1"/>
  <c r="AB130" i="1"/>
  <c r="AB343" i="1"/>
  <c r="AB709" i="1"/>
  <c r="AB835" i="1"/>
  <c r="AB843" i="1"/>
  <c r="AB721" i="1"/>
  <c r="AB734" i="1"/>
  <c r="AB736" i="1"/>
  <c r="AB771" i="1"/>
  <c r="AB783" i="1"/>
  <c r="AB787" i="1"/>
  <c r="AB800" i="1"/>
  <c r="AB834" i="1"/>
  <c r="AB808" i="1"/>
  <c r="AB348" i="1"/>
  <c r="AB566" i="1"/>
  <c r="AB641" i="1"/>
  <c r="AB740" i="1"/>
  <c r="AB804" i="1"/>
  <c r="AB814" i="1"/>
  <c r="AB833" i="1"/>
  <c r="AB853" i="1"/>
  <c r="AB855" i="1"/>
  <c r="AB132" i="1"/>
  <c r="AB275" i="1"/>
  <c r="AB567" i="1"/>
  <c r="AB904" i="1"/>
  <c r="AB911" i="1"/>
  <c r="AB790" i="1"/>
  <c r="AB128" i="1"/>
  <c r="AB569" i="1"/>
  <c r="AB617" i="1"/>
  <c r="AB623" i="1"/>
  <c r="AB630" i="1"/>
  <c r="AB632" i="1"/>
  <c r="AB638" i="1"/>
  <c r="AB750" i="1"/>
  <c r="AB752" i="1"/>
  <c r="AB766" i="1"/>
  <c r="AB786" i="1"/>
  <c r="AB788" i="1"/>
  <c r="AB269" i="1"/>
  <c r="AB753" i="1"/>
  <c r="AB205" i="1"/>
  <c r="AB277" i="1"/>
  <c r="AB350" i="1"/>
  <c r="AB570" i="1"/>
  <c r="AB642" i="1"/>
  <c r="AB178" i="1"/>
  <c r="AB246" i="1"/>
  <c r="AB337" i="1"/>
  <c r="AB344" i="1"/>
  <c r="AB346" i="1"/>
  <c r="AB373" i="1"/>
  <c r="AB663" i="1"/>
  <c r="AB669" i="1"/>
  <c r="AB706" i="1"/>
  <c r="AB331" i="1"/>
  <c r="AB381" i="1"/>
  <c r="AB525" i="1"/>
  <c r="AB668" i="1"/>
  <c r="AB796" i="1"/>
  <c r="AB695" i="1"/>
  <c r="AB711" i="1"/>
  <c r="AB723" i="1"/>
  <c r="AB727" i="1"/>
  <c r="AB618" i="1"/>
  <c r="AB815" i="1"/>
  <c r="AB865" i="1"/>
  <c r="AB870" i="1"/>
  <c r="AB869" i="1"/>
</calcChain>
</file>

<file path=xl/sharedStrings.xml><?xml version="1.0" encoding="utf-8"?>
<sst xmlns="http://schemas.openxmlformats.org/spreadsheetml/2006/main" count="12168" uniqueCount="2775">
  <si>
    <t>order_id</t>
  </si>
  <si>
    <t>order_date</t>
  </si>
  <si>
    <t>ship_date</t>
  </si>
  <si>
    <t>customer_id</t>
  </si>
  <si>
    <t>customer_name</t>
  </si>
  <si>
    <t>segment</t>
  </si>
  <si>
    <t>region</t>
  </si>
  <si>
    <t>state</t>
  </si>
  <si>
    <t>city</t>
  </si>
  <si>
    <t>category</t>
  </si>
  <si>
    <t>sub_category</t>
  </si>
  <si>
    <t>product_name</t>
  </si>
  <si>
    <t>ship_mode</t>
  </si>
  <si>
    <t>quantity</t>
  </si>
  <si>
    <t>unit_price</t>
  </si>
  <si>
    <t>discount</t>
  </si>
  <si>
    <t>sales</t>
  </si>
  <si>
    <t>cost</t>
  </si>
  <si>
    <t>profit</t>
  </si>
  <si>
    <t>payment_status</t>
  </si>
  <si>
    <t>order_status</t>
  </si>
  <si>
    <t>ORD-2024-10001</t>
  </si>
  <si>
    <t>CUST-4655</t>
  </si>
  <si>
    <t>Karan Malhotra</t>
  </si>
  <si>
    <t>Consumer</t>
  </si>
  <si>
    <t>North</t>
  </si>
  <si>
    <t>Rajasthan</t>
  </si>
  <si>
    <t>Jaipur</t>
  </si>
  <si>
    <t>Office Supplies</t>
  </si>
  <si>
    <t>Paper</t>
  </si>
  <si>
    <t>Pro Paper 122</t>
  </si>
  <si>
    <t>Second Class</t>
  </si>
  <si>
    <t>Paid</t>
  </si>
  <si>
    <t>Completed</t>
  </si>
  <si>
    <t>ORD-2024-10002</t>
  </si>
  <si>
    <t>CUST-2054</t>
  </si>
  <si>
    <t>Mira Das</t>
  </si>
  <si>
    <t>Small Business</t>
  </si>
  <si>
    <t>East</t>
  </si>
  <si>
    <t>Odisha</t>
  </si>
  <si>
    <t>Bhubaneswar</t>
  </si>
  <si>
    <t>Furniture</t>
  </si>
  <si>
    <t>Tables</t>
  </si>
  <si>
    <t>Pro Tables 258</t>
  </si>
  <si>
    <t>Same Day</t>
  </si>
  <si>
    <t>ORD-2024-10003</t>
  </si>
  <si>
    <t>CUST-6843</t>
  </si>
  <si>
    <t>Isha Nair</t>
  </si>
  <si>
    <t>Art</t>
  </si>
  <si>
    <t>Elite Art 525</t>
  </si>
  <si>
    <t>First Class</t>
  </si>
  <si>
    <t>ORD-2024-10004</t>
  </si>
  <si>
    <t>CUST-3722</t>
  </si>
  <si>
    <t>Arjun Bose</t>
  </si>
  <si>
    <t>South</t>
  </si>
  <si>
    <t>Telangana</t>
  </si>
  <si>
    <t>Hyderabad</t>
  </si>
  <si>
    <t>Furnishings</t>
  </si>
  <si>
    <t>Smart Furnishings 294</t>
  </si>
  <si>
    <t>Standard Class</t>
  </si>
  <si>
    <t>ORD-2025-10005</t>
  </si>
  <si>
    <t>CUST-8130</t>
  </si>
  <si>
    <t>Ananya Rao</t>
  </si>
  <si>
    <t>West</t>
  </si>
  <si>
    <t>Maharashtra</t>
  </si>
  <si>
    <t>Mumbai</t>
  </si>
  <si>
    <t>Chairs</t>
  </si>
  <si>
    <t>Elite Chairs 543</t>
  </si>
  <si>
    <t>Cancelled</t>
  </si>
  <si>
    <t>ORD-2024-10006</t>
  </si>
  <si>
    <t>CUST-6056</t>
  </si>
  <si>
    <t>Vikram Iyer</t>
  </si>
  <si>
    <t>Madhya Pradesh</t>
  </si>
  <si>
    <t>Indore</t>
  </si>
  <si>
    <t>Technology</t>
  </si>
  <si>
    <t>Accessories</t>
  </si>
  <si>
    <t>Pro Accessories 821</t>
  </si>
  <si>
    <t>ORD-2025-10007</t>
  </si>
  <si>
    <t>CUST-3656</t>
  </si>
  <si>
    <t>Neha Gupta</t>
  </si>
  <si>
    <t>Copiers</t>
  </si>
  <si>
    <t>Eco Copiers 790</t>
  </si>
  <si>
    <t>ORD-2025-10008</t>
  </si>
  <si>
    <t>CUST-4683</t>
  </si>
  <si>
    <t>Andhra Pradesh</t>
  </si>
  <si>
    <t>Vijayawada</t>
  </si>
  <si>
    <t>Eco Art 848</t>
  </si>
  <si>
    <t>ORD-2024-10009</t>
  </si>
  <si>
    <t>CUST-2598</t>
  </si>
  <si>
    <t>Aditi Sen</t>
  </si>
  <si>
    <t>Corporate</t>
  </si>
  <si>
    <t>Labels</t>
  </si>
  <si>
    <t>Classic Labels 815</t>
  </si>
  <si>
    <t>ORD-2025-10010</t>
  </si>
  <si>
    <t>CUST-2483</t>
  </si>
  <si>
    <t>Home Office</t>
  </si>
  <si>
    <t>Pro Paper 622</t>
  </si>
  <si>
    <t>ORD-2025-10011</t>
  </si>
  <si>
    <t>CUST-8092</t>
  </si>
  <si>
    <t>West Bengal</t>
  </si>
  <si>
    <t>Kolkata</t>
  </si>
  <si>
    <t>Prime Labels 644</t>
  </si>
  <si>
    <t>Refunded</t>
  </si>
  <si>
    <t>Returned</t>
  </si>
  <si>
    <t>ORD-2024-10012</t>
  </si>
  <si>
    <t>CUST-6528</t>
  </si>
  <si>
    <t>Smart Accessories 603</t>
  </si>
  <si>
    <t>ORD-2024-10013</t>
  </si>
  <si>
    <t>CUST-2648</t>
  </si>
  <si>
    <t>Udaipur</t>
  </si>
  <si>
    <t>Pro Paper 481</t>
  </si>
  <si>
    <t>Pending</t>
  </si>
  <si>
    <t>ORD-2025-10014</t>
  </si>
  <si>
    <t>CUST-7482</t>
  </si>
  <si>
    <t>Priya Menon</t>
  </si>
  <si>
    <t>Smart Art 795</t>
  </si>
  <si>
    <t>ORD-2024-10015</t>
  </si>
  <si>
    <t>CUST-4912</t>
  </si>
  <si>
    <t>Rahul Verma</t>
  </si>
  <si>
    <t>Max Copiers 983</t>
  </si>
  <si>
    <t>ORD-2024-10016</t>
  </si>
  <si>
    <t>CUST-7656</t>
  </si>
  <si>
    <t>Punjab</t>
  </si>
  <si>
    <t>Ludhiana</t>
  </si>
  <si>
    <t>Storage</t>
  </si>
  <si>
    <t>Classic Storage 198</t>
  </si>
  <si>
    <t>ORD-2024-10017</t>
  </si>
  <si>
    <t>CUST-6214</t>
  </si>
  <si>
    <t>Aarav Sharma</t>
  </si>
  <si>
    <t>Basic Art 204</t>
  </si>
  <si>
    <t>ORD-2024-10018</t>
  </si>
  <si>
    <t>CUST-1626</t>
  </si>
  <si>
    <t>Sneha Kapoor</t>
  </si>
  <si>
    <t>Basic Furnishings 434</t>
  </si>
  <si>
    <t>ORD-2025-10019</t>
  </si>
  <si>
    <t>CUST-2110</t>
  </si>
  <si>
    <t>Uttar Pradesh</t>
  </si>
  <si>
    <t>Noida</t>
  </si>
  <si>
    <t>Eco Copiers 755</t>
  </si>
  <si>
    <t>ORD-2024-10020</t>
  </si>
  <si>
    <t>CUST-3186</t>
  </si>
  <si>
    <t>Rohan Mehta</t>
  </si>
  <si>
    <t>Prime Storage 121</t>
  </si>
  <si>
    <t>ORD-2025-10021</t>
  </si>
  <si>
    <t>CUST-3190</t>
  </si>
  <si>
    <t>Bihar</t>
  </si>
  <si>
    <t>Patna</t>
  </si>
  <si>
    <t>Elite Copiers 233</t>
  </si>
  <si>
    <t>ORD-2025-10022</t>
  </si>
  <si>
    <t>CUST-3036</t>
  </si>
  <si>
    <t>Eco Furnishings 897</t>
  </si>
  <si>
    <t>ORD-2025-10023</t>
  </si>
  <si>
    <t>CUST-3588</t>
  </si>
  <si>
    <t>Binders</t>
  </si>
  <si>
    <t>Max Binders 355</t>
  </si>
  <si>
    <t>Failed</t>
  </si>
  <si>
    <t>ORD-2025-10024</t>
  </si>
  <si>
    <t>CUST-7098</t>
  </si>
  <si>
    <t>Bookcases</t>
  </si>
  <si>
    <t>Pro Bookcases 394</t>
  </si>
  <si>
    <t>ORD-2024-10025</t>
  </si>
  <si>
    <t>CUST-1747</t>
  </si>
  <si>
    <t>Diya Patel</t>
  </si>
  <si>
    <t>Max Art 215</t>
  </si>
  <si>
    <t>ORD-2024-10026</t>
  </si>
  <si>
    <t>CUST-1731</t>
  </si>
  <si>
    <t>Assam</t>
  </si>
  <si>
    <t>Guwahati</t>
  </si>
  <si>
    <t>Classic Accessories 478</t>
  </si>
  <si>
    <t>ORD-2024-10027</t>
  </si>
  <si>
    <t>CUST-4401</t>
  </si>
  <si>
    <t>Phones</t>
  </si>
  <si>
    <t>Pro Phones 243</t>
  </si>
  <si>
    <t>ORD-2025-10028</t>
  </si>
  <si>
    <t>CUST-9875</t>
  </si>
  <si>
    <t>Karnataka</t>
  </si>
  <si>
    <t>Bengaluru</t>
  </si>
  <si>
    <t>Basic Paper 613</t>
  </si>
  <si>
    <t>ORD-2024-10029</t>
  </si>
  <si>
    <t>CUST-1569</t>
  </si>
  <si>
    <t>Gujarat</t>
  </si>
  <si>
    <t>Ahmedabad</t>
  </si>
  <si>
    <t>Prime Phones 698</t>
  </si>
  <si>
    <t>ORD-2025-10030</t>
  </si>
  <si>
    <t>CUST-5936</t>
  </si>
  <si>
    <t>Kerala</t>
  </si>
  <si>
    <t>Kochi</t>
  </si>
  <si>
    <t>Pro Phones 442</t>
  </si>
  <si>
    <t>ORD-2024-10031</t>
  </si>
  <si>
    <t>CUST-8759</t>
  </si>
  <si>
    <t>Goa</t>
  </si>
  <si>
    <t>Panaji</t>
  </si>
  <si>
    <t>Pro Labels 355</t>
  </si>
  <si>
    <t>ORD-2025-10032</t>
  </si>
  <si>
    <t>CUST-7867</t>
  </si>
  <si>
    <t>Pro Paper 959</t>
  </si>
  <si>
    <t>ORD-2024-10033</t>
  </si>
  <si>
    <t>CUST-6509</t>
  </si>
  <si>
    <t>Basic Phones 242</t>
  </si>
  <si>
    <t>ORD-2024-10034</t>
  </si>
  <si>
    <t>CUST-6660</t>
  </si>
  <si>
    <t>Max Tables 836</t>
  </si>
  <si>
    <t>ORD-2025-10035</t>
  </si>
  <si>
    <t>CUST-2392</t>
  </si>
  <si>
    <t>Elite Chairs 862</t>
  </si>
  <si>
    <t>ORD-2024-10036</t>
  </si>
  <si>
    <t>CUST-1611</t>
  </si>
  <si>
    <t>Prime Bookcases 414</t>
  </si>
  <si>
    <t>ORD-2024-10037</t>
  </si>
  <si>
    <t>CUST-8296</t>
  </si>
  <si>
    <t>Eco Bookcases 220</t>
  </si>
  <si>
    <t>ORD-2025-10038</t>
  </si>
  <si>
    <t>CUST-4646</t>
  </si>
  <si>
    <t>Pro Copiers 830</t>
  </si>
  <si>
    <t>ORD-2024-10039</t>
  </si>
  <si>
    <t>CUST-8235</t>
  </si>
  <si>
    <t>Prime Phones 507</t>
  </si>
  <si>
    <t>ORD-2024-10040</t>
  </si>
  <si>
    <t>CUST-5830</t>
  </si>
  <si>
    <t>Classic Copiers 590</t>
  </si>
  <si>
    <t>ORD-2024-10041</t>
  </si>
  <si>
    <t>CUST-7178</t>
  </si>
  <si>
    <t>Eco Copiers 865</t>
  </si>
  <si>
    <t>ORD-2024-10042</t>
  </si>
  <si>
    <t>CUST-3829</t>
  </si>
  <si>
    <t>Classic Bookcases 835</t>
  </si>
  <si>
    <t>ORD-2025-10043</t>
  </si>
  <si>
    <t>CUST-6708</t>
  </si>
  <si>
    <t>Jharkhand</t>
  </si>
  <si>
    <t>Ranchi</t>
  </si>
  <si>
    <t>Eco Phones 702</t>
  </si>
  <si>
    <t>ORD-2024-10044</t>
  </si>
  <si>
    <t>CUST-7119</t>
  </si>
  <si>
    <t>Smart Furnishings 956</t>
  </si>
  <si>
    <t>ORD-2024-10045</t>
  </si>
  <si>
    <t>CUST-3373</t>
  </si>
  <si>
    <t>Haryana</t>
  </si>
  <si>
    <t>Gurugram</t>
  </si>
  <si>
    <t>Max Chairs 393</t>
  </si>
  <si>
    <t>ORD-2024-10046</t>
  </si>
  <si>
    <t>CUST-8896</t>
  </si>
  <si>
    <t>Prime Art 221</t>
  </si>
  <si>
    <t>ORD-2024-10047</t>
  </si>
  <si>
    <t>CUST-8517</t>
  </si>
  <si>
    <t>Elite Bookcases 671</t>
  </si>
  <si>
    <t>ORD-2024-10048</t>
  </si>
  <si>
    <t>CUST-1987</t>
  </si>
  <si>
    <t>Tamil Nadu</t>
  </si>
  <si>
    <t>Chennai</t>
  </si>
  <si>
    <t>Max Storage 432</t>
  </si>
  <si>
    <t>ORD-2025-10049</t>
  </si>
  <si>
    <t>CUST-8183</t>
  </si>
  <si>
    <t>Basic Chairs 837</t>
  </si>
  <si>
    <t>ORD-2024-10050</t>
  </si>
  <si>
    <t>CUST-2380</t>
  </si>
  <si>
    <t>Classic Copiers 295</t>
  </si>
  <si>
    <t>ORD-2025-10051</t>
  </si>
  <si>
    <t>CUST-8787</t>
  </si>
  <si>
    <t>Pro Copiers 963</t>
  </si>
  <si>
    <t>ORD-2024-10052</t>
  </si>
  <si>
    <t>CUST-3557</t>
  </si>
  <si>
    <t>Pro Art 907</t>
  </si>
  <si>
    <t>ORD-2024-10053</t>
  </si>
  <si>
    <t>CUST-2778</t>
  </si>
  <si>
    <t>Kabir Singh</t>
  </si>
  <si>
    <t>Pro Chairs 526</t>
  </si>
  <si>
    <t>ORD-2025-10054</t>
  </si>
  <si>
    <t>CUST-7195</t>
  </si>
  <si>
    <t>Elite Storage 924</t>
  </si>
  <si>
    <t>ORD-2025-10055</t>
  </si>
  <si>
    <t>CUST-9039</t>
  </si>
  <si>
    <t>Pro Labels 957</t>
  </si>
  <si>
    <t>ORD-2025-10056</t>
  </si>
  <si>
    <t>CUST-9821</t>
  </si>
  <si>
    <t>Machines</t>
  </si>
  <si>
    <t>Classic Machines 310</t>
  </si>
  <si>
    <t>ORD-2025-10057</t>
  </si>
  <si>
    <t>CUST-8701</t>
  </si>
  <si>
    <t>Smart Binders 393</t>
  </si>
  <si>
    <t>ORD-2024-10058</t>
  </si>
  <si>
    <t>CUST-9941</t>
  </si>
  <si>
    <t>Max Chairs 813</t>
  </si>
  <si>
    <t>ORD-2024-10059</t>
  </si>
  <si>
    <t>CUST-3983</t>
  </si>
  <si>
    <t>Basic Storage 872</t>
  </si>
  <si>
    <t>ORD-2024-10060</t>
  </si>
  <si>
    <t>CUST-2418</t>
  </si>
  <si>
    <t>Smart Labels 655</t>
  </si>
  <si>
    <t>ORD-2024-10061</t>
  </si>
  <si>
    <t>CUST-2892</t>
  </si>
  <si>
    <t>Eco Labels 210</t>
  </si>
  <si>
    <t>ORD-2024-10062</t>
  </si>
  <si>
    <t>CUST-7008</t>
  </si>
  <si>
    <t>Classic Bookcases 296</t>
  </si>
  <si>
    <t>ORD-2024-10063</t>
  </si>
  <si>
    <t>CUST-4900</t>
  </si>
  <si>
    <t>Basic Phones 230</t>
  </si>
  <si>
    <t>ORD-2024-10064</t>
  </si>
  <si>
    <t>CUST-5382</t>
  </si>
  <si>
    <t>Pro Binders 690</t>
  </si>
  <si>
    <t>ORD-2024-10065</t>
  </si>
  <si>
    <t>CUST-2749</t>
  </si>
  <si>
    <t>Classic Paper 458</t>
  </si>
  <si>
    <t>ORD-2024-10066</t>
  </si>
  <si>
    <t>CUST-2463</t>
  </si>
  <si>
    <t>Pro Paper 552</t>
  </si>
  <si>
    <t>ORD-2025-10067</t>
  </si>
  <si>
    <t>CUST-1504</t>
  </si>
  <si>
    <t>Elite Accessories 187</t>
  </si>
  <si>
    <t>ORD-2025-10068</t>
  </si>
  <si>
    <t>CUST-8282</t>
  </si>
  <si>
    <t>Eco Paper 922</t>
  </si>
  <si>
    <t>ORD-2024-10069</t>
  </si>
  <si>
    <t>CUST-6054</t>
  </si>
  <si>
    <t>Pro Storage 975</t>
  </si>
  <si>
    <t>ORD-2024-10070</t>
  </si>
  <si>
    <t>CUST-5979</t>
  </si>
  <si>
    <t>Prime Machines 782</t>
  </si>
  <si>
    <t>ORD-2025-10071</t>
  </si>
  <si>
    <t>CUST-5582</t>
  </si>
  <si>
    <t>Max Phones 661</t>
  </si>
  <si>
    <t>ORD-2025-10072</t>
  </si>
  <si>
    <t>CUST-3308</t>
  </si>
  <si>
    <t>Elite Machines 836</t>
  </si>
  <si>
    <t>ORD-2024-10073</t>
  </si>
  <si>
    <t>CUST-5018</t>
  </si>
  <si>
    <t>Prime Tables 902</t>
  </si>
  <si>
    <t>ORD-2025-10074</t>
  </si>
  <si>
    <t>CUST-2342</t>
  </si>
  <si>
    <t>Smart Bookcases 167</t>
  </si>
  <si>
    <t>ORD-2025-10075</t>
  </si>
  <si>
    <t>CUST-6201</t>
  </si>
  <si>
    <t>Max Chairs 244</t>
  </si>
  <si>
    <t>ORD-2025-10076</t>
  </si>
  <si>
    <t>CUST-5808</t>
  </si>
  <si>
    <t>Eco Labels 653</t>
  </si>
  <si>
    <t>ORD-2024-10077</t>
  </si>
  <si>
    <t>CUST-2642</t>
  </si>
  <si>
    <t>Max Labels 617</t>
  </si>
  <si>
    <t>ORD-2025-10078</t>
  </si>
  <si>
    <t>CUST-4385</t>
  </si>
  <si>
    <t>Pro Furnishings 529</t>
  </si>
  <si>
    <t>ORD-2025-10079</t>
  </si>
  <si>
    <t>CUST-8043</t>
  </si>
  <si>
    <t>Smart Tables 561</t>
  </si>
  <si>
    <t>ORD-2025-10080</t>
  </si>
  <si>
    <t>CUST-9978</t>
  </si>
  <si>
    <t>Prime Chairs 838</t>
  </si>
  <si>
    <t>ORD-2024-10081</t>
  </si>
  <si>
    <t>CUST-2094</t>
  </si>
  <si>
    <t>Delhi</t>
  </si>
  <si>
    <t>New Delhi</t>
  </si>
  <si>
    <t>Elite Storage 371</t>
  </si>
  <si>
    <t>ORD-2025-10082</t>
  </si>
  <si>
    <t>CUST-7907</t>
  </si>
  <si>
    <t>Eco Labels 662</t>
  </si>
  <si>
    <t>ORD-2024-10083</t>
  </si>
  <si>
    <t>CUST-6516</t>
  </si>
  <si>
    <t>Smart Copiers 702</t>
  </si>
  <si>
    <t>ORD-2024-10084</t>
  </si>
  <si>
    <t>CUST-4989</t>
  </si>
  <si>
    <t>Elite Tables 362</t>
  </si>
  <si>
    <t>ORD-2024-10085</t>
  </si>
  <si>
    <t>CUST-3758</t>
  </si>
  <si>
    <t>Elite Phones 781</t>
  </si>
  <si>
    <t>ORD-2024-10086</t>
  </si>
  <si>
    <t>CUST-6702</t>
  </si>
  <si>
    <t>Eco Binders 456</t>
  </si>
  <si>
    <t>ORD-2024-10087</t>
  </si>
  <si>
    <t>CUST-9148</t>
  </si>
  <si>
    <t>Basic Copiers 525</t>
  </si>
  <si>
    <t>ORD-2024-10088</t>
  </si>
  <si>
    <t>CUST-5829</t>
  </si>
  <si>
    <t>Eco Binders 258</t>
  </si>
  <si>
    <t>ORD-2024-10089</t>
  </si>
  <si>
    <t>CUST-6059</t>
  </si>
  <si>
    <t>Max Bookcases 398</t>
  </si>
  <si>
    <t>ORD-2024-10090</t>
  </si>
  <si>
    <t>CUST-7744</t>
  </si>
  <si>
    <t>Smart Bookcases 857</t>
  </si>
  <si>
    <t>ORD-2025-10091</t>
  </si>
  <si>
    <t>CUST-5909</t>
  </si>
  <si>
    <t>Smart Copiers 556</t>
  </si>
  <si>
    <t>ORD-2025-10092</t>
  </si>
  <si>
    <t>CUST-6409</t>
  </si>
  <si>
    <t>Prime Copiers 575</t>
  </si>
  <si>
    <t>ORD-2025-10093</t>
  </si>
  <si>
    <t>CUST-3014</t>
  </si>
  <si>
    <t>Elite Paper 669</t>
  </si>
  <si>
    <t>ORD-2024-10094</t>
  </si>
  <si>
    <t>CUST-6106</t>
  </si>
  <si>
    <t>Eco Binders 780</t>
  </si>
  <si>
    <t>ORD-2024-10095</t>
  </si>
  <si>
    <t>CUST-1926</t>
  </si>
  <si>
    <t>Elite Phones 723</t>
  </si>
  <si>
    <t>ORD-2025-10096</t>
  </si>
  <si>
    <t>CUST-2687</t>
  </si>
  <si>
    <t>Classic Bookcases 988</t>
  </si>
  <si>
    <t>ORD-2024-10097</t>
  </si>
  <si>
    <t>CUST-7283</t>
  </si>
  <si>
    <t>Smart Copiers 547</t>
  </si>
  <si>
    <t>ORD-2025-10098</t>
  </si>
  <si>
    <t>CUST-8111</t>
  </si>
  <si>
    <t>Basic Storage 656</t>
  </si>
  <si>
    <t>ORD-2024-10099</t>
  </si>
  <si>
    <t>CUST-5434</t>
  </si>
  <si>
    <t>Elite Copiers 785</t>
  </si>
  <si>
    <t>ORD-2025-10100</t>
  </si>
  <si>
    <t>CUST-3865</t>
  </si>
  <si>
    <t>Smart Accessories 542</t>
  </si>
  <si>
    <t>ORD-2025-10101</t>
  </si>
  <si>
    <t>CUST-6015</t>
  </si>
  <si>
    <t>Eco Storage 936</t>
  </si>
  <si>
    <t>ORD-2024-10102</t>
  </si>
  <si>
    <t>CUST-7909</t>
  </si>
  <si>
    <t>Classic Furnishings 682</t>
  </si>
  <si>
    <t>ORD-2025-10103</t>
  </si>
  <si>
    <t>CUST-9603</t>
  </si>
  <si>
    <t>Classic Chairs 604</t>
  </si>
  <si>
    <t>ORD-2025-10104</t>
  </si>
  <si>
    <t>CUST-6263</t>
  </si>
  <si>
    <t>Prime Tables 377</t>
  </si>
  <si>
    <t>ORD-2025-10105</t>
  </si>
  <si>
    <t>CUST-1576</t>
  </si>
  <si>
    <t>Prime Labels 807</t>
  </si>
  <si>
    <t>ORD-2024-10106</t>
  </si>
  <si>
    <t>CUST-6540</t>
  </si>
  <si>
    <t>Eco Tables 575</t>
  </si>
  <si>
    <t>ORD-2024-10107</t>
  </si>
  <si>
    <t>CUST-4008</t>
  </si>
  <si>
    <t>Eco Paper 918</t>
  </si>
  <si>
    <t>ORD-2024-10108</t>
  </si>
  <si>
    <t>CUST-6604</t>
  </si>
  <si>
    <t>Prime Furnishings 952</t>
  </si>
  <si>
    <t>ORD-2024-10109</t>
  </si>
  <si>
    <t>CUST-4337</t>
  </si>
  <si>
    <t>Prime Bookcases 631</t>
  </si>
  <si>
    <t>ORD-2025-10110</t>
  </si>
  <si>
    <t>CUST-3740</t>
  </si>
  <si>
    <t>Classic Binders 660</t>
  </si>
  <si>
    <t>ORD-2024-10111</t>
  </si>
  <si>
    <t>CUST-7128</t>
  </si>
  <si>
    <t>Pro Labels 255</t>
  </si>
  <si>
    <t>ORD-2025-10112</t>
  </si>
  <si>
    <t>CUST-4743</t>
  </si>
  <si>
    <t>Basic Accessories 187</t>
  </si>
  <si>
    <t>ORD-2024-10113</t>
  </si>
  <si>
    <t>CUST-5213</t>
  </si>
  <si>
    <t>Max Accessories 451</t>
  </si>
  <si>
    <t>ORD-2024-10114</t>
  </si>
  <si>
    <t>Classic Tables 752</t>
  </si>
  <si>
    <t>ORD-2024-10115</t>
  </si>
  <si>
    <t>CUST-2927</t>
  </si>
  <si>
    <t>Eco Accessories 452</t>
  </si>
  <si>
    <t>ORD-2024-10116</t>
  </si>
  <si>
    <t>CUST-7764</t>
  </si>
  <si>
    <t>Classic Binders 203</t>
  </si>
  <si>
    <t>ORD-2025-10117</t>
  </si>
  <si>
    <t>CUST-3632</t>
  </si>
  <si>
    <t>Basic Binders 859</t>
  </si>
  <si>
    <t>ORD-2024-10118</t>
  </si>
  <si>
    <t>CUST-9608</t>
  </si>
  <si>
    <t>Elite Machines 705</t>
  </si>
  <si>
    <t>70%</t>
  </si>
  <si>
    <t>ORD-2024-10119</t>
  </si>
  <si>
    <t>CUST-9135</t>
  </si>
  <si>
    <t>Pro Copiers 208</t>
  </si>
  <si>
    <t>ORD-2024-10120</t>
  </si>
  <si>
    <t>CUST-7861</t>
  </si>
  <si>
    <t>Elite Chairs 921</t>
  </si>
  <si>
    <t>ORD-2024-10121</t>
  </si>
  <si>
    <t>CUST-6096</t>
  </si>
  <si>
    <t>Prime Phones 540</t>
  </si>
  <si>
    <t>ORD-2025-10122</t>
  </si>
  <si>
    <t>CUST-2044</t>
  </si>
  <si>
    <t>Max Machines 948</t>
  </si>
  <si>
    <t>ORD-2024-10123</t>
  </si>
  <si>
    <t>CUST-1721</t>
  </si>
  <si>
    <t>Max Chairs 786</t>
  </si>
  <si>
    <t>ORD-2024-10124</t>
  </si>
  <si>
    <t>CUST-1007</t>
  </si>
  <si>
    <t>Max Copiers 970</t>
  </si>
  <si>
    <t>ORD-2024-10125</t>
  </si>
  <si>
    <t>CUST-4450</t>
  </si>
  <si>
    <t>Pro Copiers 769</t>
  </si>
  <si>
    <t>ORD-2025-10126</t>
  </si>
  <si>
    <t>CUST-7924</t>
  </si>
  <si>
    <t>Basic Tables 753</t>
  </si>
  <si>
    <t>ORD-2025-10127</t>
  </si>
  <si>
    <t>CUST-1715</t>
  </si>
  <si>
    <t>Prime Copiers 651</t>
  </si>
  <si>
    <t>ORD-2025-10128</t>
  </si>
  <si>
    <t>CUST-6802</t>
  </si>
  <si>
    <t>Basic Storage 321</t>
  </si>
  <si>
    <t>ORD-2024-10129</t>
  </si>
  <si>
    <t>CUST-9328</t>
  </si>
  <si>
    <t>Prime Furnishings 710</t>
  </si>
  <si>
    <t>ORD-2024-10130</t>
  </si>
  <si>
    <t>CUST-2588</t>
  </si>
  <si>
    <t>Elite Binders 723</t>
  </si>
  <si>
    <t>ORD-2024-10131</t>
  </si>
  <si>
    <t>CUST-5435</t>
  </si>
  <si>
    <t>Smart Labels 878</t>
  </si>
  <si>
    <t>ORD-2025-10132</t>
  </si>
  <si>
    <t>CUST-7637</t>
  </si>
  <si>
    <t>Pro Paper 934</t>
  </si>
  <si>
    <t>ORD-2024-10133</t>
  </si>
  <si>
    <t>CUST-3602</t>
  </si>
  <si>
    <t>Classic Machines 886</t>
  </si>
  <si>
    <t>ORD-2024-10134</t>
  </si>
  <si>
    <t>CUST-9441</t>
  </si>
  <si>
    <t>Prime Phones 419</t>
  </si>
  <si>
    <t>ORD-2025-10135</t>
  </si>
  <si>
    <t>CUST-7361</t>
  </si>
  <si>
    <t>Elite Bookcases 266</t>
  </si>
  <si>
    <t>ORD-2025-10136</t>
  </si>
  <si>
    <t>CUST-1148</t>
  </si>
  <si>
    <t>Prime Bookcases 954</t>
  </si>
  <si>
    <t>ORD-2025-10137</t>
  </si>
  <si>
    <t>CUST-3350</t>
  </si>
  <si>
    <t>Max Binders 362</t>
  </si>
  <si>
    <t>ORD-2025-10138</t>
  </si>
  <si>
    <t>CUST-7932</t>
  </si>
  <si>
    <t>Prime Chairs 261</t>
  </si>
  <si>
    <t>ORD-2024-10139</t>
  </si>
  <si>
    <t>CUST-7173</t>
  </si>
  <si>
    <t>Basic Machines 185</t>
  </si>
  <si>
    <t>ORD-2025-10140</t>
  </si>
  <si>
    <t>CUST-4225</t>
  </si>
  <si>
    <t>Basic Labels 509</t>
  </si>
  <si>
    <t>ORD-2024-10141</t>
  </si>
  <si>
    <t>CUST-2149</t>
  </si>
  <si>
    <t>Elite Bookcases 696</t>
  </si>
  <si>
    <t>ORD-2024-10142</t>
  </si>
  <si>
    <t>CUST-3314</t>
  </si>
  <si>
    <t>Elite Bookcases 772</t>
  </si>
  <si>
    <t>ORD-2024-10143</t>
  </si>
  <si>
    <t>CUST-8944</t>
  </si>
  <si>
    <t>Classic Phones 142</t>
  </si>
  <si>
    <t>ORD-2024-10144</t>
  </si>
  <si>
    <t>CUST-3144</t>
  </si>
  <si>
    <t>Pro Paper 575</t>
  </si>
  <si>
    <t>ORD-2024-10145</t>
  </si>
  <si>
    <t>CUST-6747</t>
  </si>
  <si>
    <t>Elite Accessories 905</t>
  </si>
  <si>
    <t>ORD-2025-10146</t>
  </si>
  <si>
    <t>CUST-6161</t>
  </si>
  <si>
    <t>Smart Paper 899</t>
  </si>
  <si>
    <t>ORD-2025-10147</t>
  </si>
  <si>
    <t>CUST-1460</t>
  </si>
  <si>
    <t>Classic Storage 423</t>
  </si>
  <si>
    <t>ORD-2024-10148</t>
  </si>
  <si>
    <t>CUST-2692</t>
  </si>
  <si>
    <t>Classic Furnishings 743</t>
  </si>
  <si>
    <t>ORD-2025-10149</t>
  </si>
  <si>
    <t>CUST-2822</t>
  </si>
  <si>
    <t>Smart Phones 336</t>
  </si>
  <si>
    <t>ORD-2024-10150</t>
  </si>
  <si>
    <t>CUST-5876</t>
  </si>
  <si>
    <t>Eco Copiers 381</t>
  </si>
  <si>
    <t>ORD-2024-10151</t>
  </si>
  <si>
    <t>CUST-4661</t>
  </si>
  <si>
    <t>Max Bookcases 595</t>
  </si>
  <si>
    <t>ORD-2024-10152</t>
  </si>
  <si>
    <t>CUST-6011</t>
  </si>
  <si>
    <t>Max Copiers 992</t>
  </si>
  <si>
    <t>ORD-2024-10153</t>
  </si>
  <si>
    <t>CUST-6160</t>
  </si>
  <si>
    <t>Pro Tables 407</t>
  </si>
  <si>
    <t>ORD-2025-10154</t>
  </si>
  <si>
    <t>CUST-6971</t>
  </si>
  <si>
    <t>Prime Labels 559</t>
  </si>
  <si>
    <t>ORD-2024-10155</t>
  </si>
  <si>
    <t>Classic Bookcases 847</t>
  </si>
  <si>
    <t>ORD-2025-10156</t>
  </si>
  <si>
    <t>CUST-8327</t>
  </si>
  <si>
    <t>Classic Furnishings 655</t>
  </si>
  <si>
    <t>ORD-2025-10157</t>
  </si>
  <si>
    <t>CUST-4058</t>
  </si>
  <si>
    <t>Eco Machines 657</t>
  </si>
  <si>
    <t>ORD-2024-10158</t>
  </si>
  <si>
    <t>CUST-1142</t>
  </si>
  <si>
    <t>Pro Bookcases 430</t>
  </si>
  <si>
    <t>ORD-2024-10159</t>
  </si>
  <si>
    <t>CUST-2324</t>
  </si>
  <si>
    <t>Max Bookcases 881</t>
  </si>
  <si>
    <t>ORD-2025-10160</t>
  </si>
  <si>
    <t>CUST-7717</t>
  </si>
  <si>
    <t>Elite Chairs 998</t>
  </si>
  <si>
    <t>ORD-2025-10161</t>
  </si>
  <si>
    <t>CUST-4932</t>
  </si>
  <si>
    <t>Max Paper 113</t>
  </si>
  <si>
    <t>ORD-2025-10162</t>
  </si>
  <si>
    <t>CUST-2367</t>
  </si>
  <si>
    <t>Smart Binders 267</t>
  </si>
  <si>
    <t>ORD-2024-10163</t>
  </si>
  <si>
    <t>CUST-4830</t>
  </si>
  <si>
    <t>Pro Furnishings 108</t>
  </si>
  <si>
    <t>ORD-2025-10164</t>
  </si>
  <si>
    <t>CUST-2548</t>
  </si>
  <si>
    <t>Elite Tables 389</t>
  </si>
  <si>
    <t>ORD-2025-10165</t>
  </si>
  <si>
    <t>CUST-3833</t>
  </si>
  <si>
    <t>Pro Bookcases 595</t>
  </si>
  <si>
    <t>ORD-2024-10166</t>
  </si>
  <si>
    <t>CUST-4598</t>
  </si>
  <si>
    <t>Max Chairs 148</t>
  </si>
  <si>
    <t>ORD-2025-10167</t>
  </si>
  <si>
    <t>CUST-7215</t>
  </si>
  <si>
    <t>Basic Labels 671</t>
  </si>
  <si>
    <t>ORD-2025-10168</t>
  </si>
  <si>
    <t>CUST-7770</t>
  </si>
  <si>
    <t>Elite Storage 628</t>
  </si>
  <si>
    <t>ORD-2025-10169</t>
  </si>
  <si>
    <t>CUST-9756</t>
  </si>
  <si>
    <t>Eco Accessories 590</t>
  </si>
  <si>
    <t>ORD-2025-10170</t>
  </si>
  <si>
    <t>CUST-2261</t>
  </si>
  <si>
    <t>Pro Art 734</t>
  </si>
  <si>
    <t>ORD-2025-10171</t>
  </si>
  <si>
    <t>CUST-3734</t>
  </si>
  <si>
    <t>Eco Copiers 102</t>
  </si>
  <si>
    <t>ORD-2025-10172</t>
  </si>
  <si>
    <t>CUST-3436</t>
  </si>
  <si>
    <t>Basic Labels 876</t>
  </si>
  <si>
    <t>ORD-2025-10173</t>
  </si>
  <si>
    <t>CUST-4845</t>
  </si>
  <si>
    <t>Prime Furnishings 381</t>
  </si>
  <si>
    <t>ORD-2024-10174</t>
  </si>
  <si>
    <t>CUST-6153</t>
  </si>
  <si>
    <t>Prime Copiers 440</t>
  </si>
  <si>
    <t>ORD-2025-10175</t>
  </si>
  <si>
    <t>CUST-5475</t>
  </si>
  <si>
    <t>Pro Bookcases 319</t>
  </si>
  <si>
    <t>ORD-2024-10176</t>
  </si>
  <si>
    <t>CUST-5580</t>
  </si>
  <si>
    <t>Basic Machines 584</t>
  </si>
  <si>
    <t>ORD-2025-10177</t>
  </si>
  <si>
    <t>CUST-3027</t>
  </si>
  <si>
    <t>Pro Bookcases 612</t>
  </si>
  <si>
    <t>ORD-2024-10178</t>
  </si>
  <si>
    <t>CUST-4399</t>
  </si>
  <si>
    <t>Classic Art 573</t>
  </si>
  <si>
    <t>ORD-2024-10179</t>
  </si>
  <si>
    <t>CUST-3092</t>
  </si>
  <si>
    <t>Eco Art 854</t>
  </si>
  <si>
    <t>ORD-2024-10180</t>
  </si>
  <si>
    <t>CUST-1778</t>
  </si>
  <si>
    <t>Classic Furnishings 996</t>
  </si>
  <si>
    <t>ORD-2024-10181</t>
  </si>
  <si>
    <t>CUST-3787</t>
  </si>
  <si>
    <t>Prime Binders 735</t>
  </si>
  <si>
    <t>ORD-2025-10182</t>
  </si>
  <si>
    <t>CUST-5119</t>
  </si>
  <si>
    <t>Pro Art 587</t>
  </si>
  <si>
    <t>ORD-2024-10183</t>
  </si>
  <si>
    <t>CUST-4121</t>
  </si>
  <si>
    <t>Basic Machines 575</t>
  </si>
  <si>
    <t>ORD-2025-10184</t>
  </si>
  <si>
    <t>CUST-3366</t>
  </si>
  <si>
    <t>Elite Copiers 788</t>
  </si>
  <si>
    <t>ORD-2024-10185</t>
  </si>
  <si>
    <t>CUST-1358</t>
  </si>
  <si>
    <t>Max Bookcases 472</t>
  </si>
  <si>
    <t>ORD-2024-10186</t>
  </si>
  <si>
    <t>CUST-4968</t>
  </si>
  <si>
    <t>Smart Labels 475</t>
  </si>
  <si>
    <t>ORD-2024-10187</t>
  </si>
  <si>
    <t>Basic Tables 417</t>
  </si>
  <si>
    <t>ORD-2025-10188</t>
  </si>
  <si>
    <t>CUST-3109</t>
  </si>
  <si>
    <t>Pro Chairs 844</t>
  </si>
  <si>
    <t>ORD-2025-10189</t>
  </si>
  <si>
    <t>CUST-3422</t>
  </si>
  <si>
    <t>Elite Bookcases 883</t>
  </si>
  <si>
    <t>ORD-2025-10190</t>
  </si>
  <si>
    <t>CUST-3375</t>
  </si>
  <si>
    <t>Basic Bookcases 754</t>
  </si>
  <si>
    <t>ORD-2025-10191</t>
  </si>
  <si>
    <t>CUST-5138</t>
  </si>
  <si>
    <t>Eco Storage 158</t>
  </si>
  <si>
    <t>ORD-2024-10192</t>
  </si>
  <si>
    <t>CUST-7410</t>
  </si>
  <si>
    <t>Prime Bookcases 602</t>
  </si>
  <si>
    <t>ORD-2024-10193</t>
  </si>
  <si>
    <t>CUST-7115</t>
  </si>
  <si>
    <t>Eco Chairs 438</t>
  </si>
  <si>
    <t>ORD-2024-10194</t>
  </si>
  <si>
    <t>CUST-9853</t>
  </si>
  <si>
    <t>Prime Copiers 142</t>
  </si>
  <si>
    <t>ORD-2025-10195</t>
  </si>
  <si>
    <t>CUST-3637</t>
  </si>
  <si>
    <t>Prime Furnishings 433</t>
  </si>
  <si>
    <t>ORD-2025-10196</t>
  </si>
  <si>
    <t>CUST-4328</t>
  </si>
  <si>
    <t>Smart Furnishings 685</t>
  </si>
  <si>
    <t>ORD-2024-10197</t>
  </si>
  <si>
    <t>CUST-8028</t>
  </si>
  <si>
    <t>Elite Storage 915</t>
  </si>
  <si>
    <t>ORD-2025-10198</t>
  </si>
  <si>
    <t>Basic Storage 961</t>
  </si>
  <si>
    <t>ORD-2024-10199</t>
  </si>
  <si>
    <t>CUST-7820</t>
  </si>
  <si>
    <t>Classic Art 968</t>
  </si>
  <si>
    <t>ORD-2024-10200</t>
  </si>
  <si>
    <t>CUST-4536</t>
  </si>
  <si>
    <t>Prime Machines 806</t>
  </si>
  <si>
    <t>ORD-2025-10201</t>
  </si>
  <si>
    <t>CUST-7047</t>
  </si>
  <si>
    <t>Classic Copiers 479</t>
  </si>
  <si>
    <t>ORD-2025-10202</t>
  </si>
  <si>
    <t>CUST-8005</t>
  </si>
  <si>
    <t>Basic Labels 511</t>
  </si>
  <si>
    <t>ORD-2025-10203</t>
  </si>
  <si>
    <t>CUST-9378</t>
  </si>
  <si>
    <t>Prime Accessories 733</t>
  </si>
  <si>
    <t>ORD-2024-10204</t>
  </si>
  <si>
    <t>CUST-3384</t>
  </si>
  <si>
    <t>Max Accessories 186</t>
  </si>
  <si>
    <t>ORD-2025-10205</t>
  </si>
  <si>
    <t>CUST-1986</t>
  </si>
  <si>
    <t>Elite Tables 318</t>
  </si>
  <si>
    <t>ORD-2025-10206</t>
  </si>
  <si>
    <t>CUST-3338</t>
  </si>
  <si>
    <t>Smart Labels 354</t>
  </si>
  <si>
    <t>ORD-2025-10207</t>
  </si>
  <si>
    <t>CUST-2343</t>
  </si>
  <si>
    <t>Pro Furnishings 981</t>
  </si>
  <si>
    <t>ORD-2024-10208</t>
  </si>
  <si>
    <t>CUST-3362</t>
  </si>
  <si>
    <t>Eco Bookcases 671</t>
  </si>
  <si>
    <t>ORD-2025-10209</t>
  </si>
  <si>
    <t>CUST-3662</t>
  </si>
  <si>
    <t>Max Chairs 151</t>
  </si>
  <si>
    <t>ORD-2025-10210</t>
  </si>
  <si>
    <t>CUST-4947</t>
  </si>
  <si>
    <t>Prime Paper 903</t>
  </si>
  <si>
    <t>ORD-2024-10211</t>
  </si>
  <si>
    <t>CUST-3076</t>
  </si>
  <si>
    <t>Classic Machines 944</t>
  </si>
  <si>
    <t>ORD-2024-10212</t>
  </si>
  <si>
    <t>CUST-2222</t>
  </si>
  <si>
    <t>Basic Copiers 222</t>
  </si>
  <si>
    <t>ORD-2024-10213</t>
  </si>
  <si>
    <t>CUST-3610</t>
  </si>
  <si>
    <t>Max Phones 329</t>
  </si>
  <si>
    <t>ORD-2024-10214</t>
  </si>
  <si>
    <t>CUST-9136</t>
  </si>
  <si>
    <t>Classic Accessories 840</t>
  </si>
  <si>
    <t>ORD-2024-10215</t>
  </si>
  <si>
    <t>CUST-1301</t>
  </si>
  <si>
    <t>Classic Accessories 757</t>
  </si>
  <si>
    <t>ORD-2024-10216</t>
  </si>
  <si>
    <t>CUST-8603</t>
  </si>
  <si>
    <t>Prime Paper 286</t>
  </si>
  <si>
    <t>ORD-2025-10217</t>
  </si>
  <si>
    <t>CUST-4330</t>
  </si>
  <si>
    <t>Basic Tables 400</t>
  </si>
  <si>
    <t>ORD-2025-10218</t>
  </si>
  <si>
    <t>CUST-4533</t>
  </si>
  <si>
    <t>Basic Bookcases 405</t>
  </si>
  <si>
    <t>ORD-2025-10219</t>
  </si>
  <si>
    <t>CUST-8270</t>
  </si>
  <si>
    <t>Classic Bookcases 139</t>
  </si>
  <si>
    <t>ORD-2024-10220</t>
  </si>
  <si>
    <t>CUST-1472</t>
  </si>
  <si>
    <t>Elite Machines 290</t>
  </si>
  <si>
    <t>85%</t>
  </si>
  <si>
    <t>ORD-2024-10221</t>
  </si>
  <si>
    <t>CUST-1031</t>
  </si>
  <si>
    <t>Elite Storage 925</t>
  </si>
  <si>
    <t>ORD-2025-10222</t>
  </si>
  <si>
    <t>CUST-2495</t>
  </si>
  <si>
    <t>Classic Chairs 231</t>
  </si>
  <si>
    <t>ORD-2025-10223</t>
  </si>
  <si>
    <t>CUST-4583</t>
  </si>
  <si>
    <t>Prime Storage 818</t>
  </si>
  <si>
    <t>ORD-2025-10224</t>
  </si>
  <si>
    <t>CUST-5319</t>
  </si>
  <si>
    <t>Elite Furnishings 449</t>
  </si>
  <si>
    <t>ORD-2025-10225</t>
  </si>
  <si>
    <t>CUST-9871</t>
  </si>
  <si>
    <t>Classic Furnishings 109</t>
  </si>
  <si>
    <t>ORD-2024-10226</t>
  </si>
  <si>
    <t>CUST-1266</t>
  </si>
  <si>
    <t>Classic Phones 548</t>
  </si>
  <si>
    <t>ORD-2025-10227</t>
  </si>
  <si>
    <t>CUST-2545</t>
  </si>
  <si>
    <t>Max Copiers 363</t>
  </si>
  <si>
    <t>ORD-2024-10228</t>
  </si>
  <si>
    <t>CUST-2819</t>
  </si>
  <si>
    <t>Prime Binders 507</t>
  </si>
  <si>
    <t>ORD-2024-10229</t>
  </si>
  <si>
    <t>CUST-1076</t>
  </si>
  <si>
    <t>Smart Labels 914</t>
  </si>
  <si>
    <t>ORD-2025-10230</t>
  </si>
  <si>
    <t>CUST-1943</t>
  </si>
  <si>
    <t>Smart Bookcases 662</t>
  </si>
  <si>
    <t>ORD-2024-10231</t>
  </si>
  <si>
    <t>CUST-3434</t>
  </si>
  <si>
    <t>Eco Paper 937</t>
  </si>
  <si>
    <t>ORD-2024-10232</t>
  </si>
  <si>
    <t>CUST-9139</t>
  </si>
  <si>
    <t>Max Labels 370</t>
  </si>
  <si>
    <t>ORD-2025-10233</t>
  </si>
  <si>
    <t>CUST-5341</t>
  </si>
  <si>
    <t>Classic Phones 530</t>
  </si>
  <si>
    <t>ORD-2024-10234</t>
  </si>
  <si>
    <t>CUST-3710</t>
  </si>
  <si>
    <t>Smart Bookcases 328</t>
  </si>
  <si>
    <t>ORD-2024-10235</t>
  </si>
  <si>
    <t>CUST-9754</t>
  </si>
  <si>
    <t>Eco Furnishings 981</t>
  </si>
  <si>
    <t>ORD-2024-10236</t>
  </si>
  <si>
    <t>CUST-6256</t>
  </si>
  <si>
    <t>Basic Storage 195</t>
  </si>
  <si>
    <t>ORD-2024-10237</t>
  </si>
  <si>
    <t>CUST-7113</t>
  </si>
  <si>
    <t>Elite Bookcases 907</t>
  </si>
  <si>
    <t>ORD-2024-10238</t>
  </si>
  <si>
    <t>CUST-3827</t>
  </si>
  <si>
    <t>Smart Copiers 471</t>
  </si>
  <si>
    <t>ORD-2024-10239</t>
  </si>
  <si>
    <t>CUST-2375</t>
  </si>
  <si>
    <t>Prime Storage 625</t>
  </si>
  <si>
    <t>ORD-2024-10240</t>
  </si>
  <si>
    <t>CUST-2233</t>
  </si>
  <si>
    <t>Smart Machines 801</t>
  </si>
  <si>
    <t>ORD-2024-10241</t>
  </si>
  <si>
    <t>CUST-9778</t>
  </si>
  <si>
    <t>Max Binders 170</t>
  </si>
  <si>
    <t>ORD-2025-10242</t>
  </si>
  <si>
    <t>CUST-6949</t>
  </si>
  <si>
    <t>Basic Storage 737</t>
  </si>
  <si>
    <t>ORD-2025-10243</t>
  </si>
  <si>
    <t>CUST-3430</t>
  </si>
  <si>
    <t>Classic Art 126</t>
  </si>
  <si>
    <t>ORD-2025-10244</t>
  </si>
  <si>
    <t>CUST-6310</t>
  </si>
  <si>
    <t>Prime Accessories 243</t>
  </si>
  <si>
    <t>ORD-2024-10245</t>
  </si>
  <si>
    <t>CUST-6008</t>
  </si>
  <si>
    <t>Eco Bookcases 768</t>
  </si>
  <si>
    <t>ORD-2024-10246</t>
  </si>
  <si>
    <t>CUST-1704</t>
  </si>
  <si>
    <t>Pro Chairs 316</t>
  </si>
  <si>
    <t>ORD-2024-10247</t>
  </si>
  <si>
    <t>CUST-1827</t>
  </si>
  <si>
    <t>Classic Machines 819</t>
  </si>
  <si>
    <t>ORD-2024-10248</t>
  </si>
  <si>
    <t>CUST-6663</t>
  </si>
  <si>
    <t>Smart Accessories 572</t>
  </si>
  <si>
    <t>ORD-2024-10249</t>
  </si>
  <si>
    <t>CUST-6278</t>
  </si>
  <si>
    <t>Basic Labels 432</t>
  </si>
  <si>
    <t>ORD-2025-10250</t>
  </si>
  <si>
    <t>CUST-2305</t>
  </si>
  <si>
    <t>Classic Furnishings 378</t>
  </si>
  <si>
    <t>ORD-2024-10251</t>
  </si>
  <si>
    <t>CUST-5351</t>
  </si>
  <si>
    <t>Prime Furnishings 781</t>
  </si>
  <si>
    <t>ORD-2025-10252</t>
  </si>
  <si>
    <t>CUST-6268</t>
  </si>
  <si>
    <t>Prime Tables 263</t>
  </si>
  <si>
    <t>ORD-2025-10253</t>
  </si>
  <si>
    <t>CUST-2103</t>
  </si>
  <si>
    <t>Basic Storage 269</t>
  </si>
  <si>
    <t>ORD-2024-10254</t>
  </si>
  <si>
    <t>CUST-5394</t>
  </si>
  <si>
    <t>Classic Phones 442</t>
  </si>
  <si>
    <t>ORD-2025-10255</t>
  </si>
  <si>
    <t>CUST-6853</t>
  </si>
  <si>
    <t>Elite Accessories 978</t>
  </si>
  <si>
    <t>ORD-2025-10256</t>
  </si>
  <si>
    <t>CUST-1549</t>
  </si>
  <si>
    <t>Eco Phones 132</t>
  </si>
  <si>
    <t>ORD-2024-10257</t>
  </si>
  <si>
    <t>CUST-8411</t>
  </si>
  <si>
    <t>Prime Tables 481</t>
  </si>
  <si>
    <t>ORD-2025-10258</t>
  </si>
  <si>
    <t>CUST-5615</t>
  </si>
  <si>
    <t>Smart Accessories 180</t>
  </si>
  <si>
    <t>ORD-2024-10259</t>
  </si>
  <si>
    <t>CUST-8467</t>
  </si>
  <si>
    <t>Smart Tables 774</t>
  </si>
  <si>
    <t>ORD-2024-10260</t>
  </si>
  <si>
    <t>CUST-5174</t>
  </si>
  <si>
    <t>Prime Machines 793</t>
  </si>
  <si>
    <t>ORD-2025-10261</t>
  </si>
  <si>
    <t>CUST-3543</t>
  </si>
  <si>
    <t>Elite Binders 827</t>
  </si>
  <si>
    <t>ORD-2025-10262</t>
  </si>
  <si>
    <t>CUST-7623</t>
  </si>
  <si>
    <t>Prime Labels 326</t>
  </si>
  <si>
    <t>ORD-2025-10263</t>
  </si>
  <si>
    <t>Eco Phones 245</t>
  </si>
  <si>
    <t>ORD-2025-10264</t>
  </si>
  <si>
    <t>CUST-8265</t>
  </si>
  <si>
    <t>Smart Binders 905</t>
  </si>
  <si>
    <t>ORD-2024-10265</t>
  </si>
  <si>
    <t>CUST-4750</t>
  </si>
  <si>
    <t>Pro Copiers 599</t>
  </si>
  <si>
    <t>ORD-2024-10266</t>
  </si>
  <si>
    <t>CUST-3974</t>
  </si>
  <si>
    <t>Basic Bookcases 570</t>
  </si>
  <si>
    <t>ORD-2025-10267</t>
  </si>
  <si>
    <t>CUST-7114</t>
  </si>
  <si>
    <t>Classic Storage 926</t>
  </si>
  <si>
    <t>ORD-2025-10268</t>
  </si>
  <si>
    <t>CUST-4431</t>
  </si>
  <si>
    <t>Basic Furnishings 372</t>
  </si>
  <si>
    <t>ORD-2025-10269</t>
  </si>
  <si>
    <t>CUST-1488</t>
  </si>
  <si>
    <t>Prime Accessories 367</t>
  </si>
  <si>
    <t>ORD-2025-10270</t>
  </si>
  <si>
    <t>CUST-1586</t>
  </si>
  <si>
    <t>Max Tables 526</t>
  </si>
  <si>
    <t>ORD-2024-10271</t>
  </si>
  <si>
    <t>CUST-2487</t>
  </si>
  <si>
    <t>Prime Machines 794</t>
  </si>
  <si>
    <t>ORD-2024-10272</t>
  </si>
  <si>
    <t>CUST-8009</t>
  </si>
  <si>
    <t>Max Binders 927</t>
  </si>
  <si>
    <t>ORD-2024-10273</t>
  </si>
  <si>
    <t>CUST-7389</t>
  </si>
  <si>
    <t>Eco Chairs 314</t>
  </si>
  <si>
    <t>ORD-2025-10274</t>
  </si>
  <si>
    <t>CUST-8249</t>
  </si>
  <si>
    <t>Basic Paper 657</t>
  </si>
  <si>
    <t>ORD-2024-10275</t>
  </si>
  <si>
    <t>CUST-4202</t>
  </si>
  <si>
    <t>Pro Copiers 406</t>
  </si>
  <si>
    <t>ORD-2024-10276</t>
  </si>
  <si>
    <t>CUST-2875</t>
  </si>
  <si>
    <t>Eco Furnishings 678</t>
  </si>
  <si>
    <t>ORD-2024-10277</t>
  </si>
  <si>
    <t>CUST-7039</t>
  </si>
  <si>
    <t>Basic Chairs 141</t>
  </si>
  <si>
    <t>ORD-2025-10278</t>
  </si>
  <si>
    <t>Elite Accessories 291</t>
  </si>
  <si>
    <t>ORD-2025-10279</t>
  </si>
  <si>
    <t>CUST-8242</t>
  </si>
  <si>
    <t>Pro Accessories 207</t>
  </si>
  <si>
    <t>ORD-2024-10280</t>
  </si>
  <si>
    <t>CUST-4571</t>
  </si>
  <si>
    <t>Max Storage 564</t>
  </si>
  <si>
    <t>ORD-2024-10281</t>
  </si>
  <si>
    <t>CUST-4098</t>
  </si>
  <si>
    <t>Prime Copiers 961</t>
  </si>
  <si>
    <t>ORD-2025-10282</t>
  </si>
  <si>
    <t>CUST-2052</t>
  </si>
  <si>
    <t>Basic Binders 637</t>
  </si>
  <si>
    <t>ORD-2024-10283</t>
  </si>
  <si>
    <t>CUST-9445</t>
  </si>
  <si>
    <t>Classic Tables 811</t>
  </si>
  <si>
    <t>ORD-2025-10284</t>
  </si>
  <si>
    <t>CUST-6568</t>
  </si>
  <si>
    <t>Classic Furnishings 819</t>
  </si>
  <si>
    <t>ORD-2024-10285</t>
  </si>
  <si>
    <t>CUST-2076</t>
  </si>
  <si>
    <t>Prime Tables 542</t>
  </si>
  <si>
    <t>ORD-2025-10286</t>
  </si>
  <si>
    <t>CUST-5610</t>
  </si>
  <si>
    <t>Basic Storage 771</t>
  </si>
  <si>
    <t>ORD-2024-10287</t>
  </si>
  <si>
    <t>CUST-5823</t>
  </si>
  <si>
    <t>Pro Furnishings 848</t>
  </si>
  <si>
    <t>ORD-2024-10288</t>
  </si>
  <si>
    <t>CUST-7095</t>
  </si>
  <si>
    <t>Prime Copiers 924</t>
  </si>
  <si>
    <t>ORD-2024-10289</t>
  </si>
  <si>
    <t>CUST-4805</t>
  </si>
  <si>
    <t>Classic Binders 721</t>
  </si>
  <si>
    <t>ORD-2025-10290</t>
  </si>
  <si>
    <t>CUST-9114</t>
  </si>
  <si>
    <t>Basic Bookcases 823</t>
  </si>
  <si>
    <t>ORD-2025-10291</t>
  </si>
  <si>
    <t>CUST-8557</t>
  </si>
  <si>
    <t>Classic Tables 178</t>
  </si>
  <si>
    <t>ORD-2024-10292</t>
  </si>
  <si>
    <t>CUST-2860</t>
  </si>
  <si>
    <t>Eco Binders 153</t>
  </si>
  <si>
    <t>ORD-2025-10293</t>
  </si>
  <si>
    <t>CUST-7837</t>
  </si>
  <si>
    <t>Classic Art 183</t>
  </si>
  <si>
    <t>ORD-2024-10294</t>
  </si>
  <si>
    <t>CUST-7010</t>
  </si>
  <si>
    <t>Pro Phones 455</t>
  </si>
  <si>
    <t>ORD-2025-10295</t>
  </si>
  <si>
    <t>CUST-4755</t>
  </si>
  <si>
    <t>Basic Phones 326</t>
  </si>
  <si>
    <t>ORD-2025-10296</t>
  </si>
  <si>
    <t>CUST-6778</t>
  </si>
  <si>
    <t>Max Binders 587</t>
  </si>
  <si>
    <t>ORD-2025-10297</t>
  </si>
  <si>
    <t>CUST-7629</t>
  </si>
  <si>
    <t>Basic Furnishings 617</t>
  </si>
  <si>
    <t>ORD-2024-10298</t>
  </si>
  <si>
    <t>CUST-6724</t>
  </si>
  <si>
    <t>Prime Copiers 669</t>
  </si>
  <si>
    <t>ORD-2025-10299</t>
  </si>
  <si>
    <t>CUST-2141</t>
  </si>
  <si>
    <t>Eco Copiers 894</t>
  </si>
  <si>
    <t>ORD-2024-10300</t>
  </si>
  <si>
    <t>CUST-7264</t>
  </si>
  <si>
    <t>Max Accessories 145</t>
  </si>
  <si>
    <t>ORD-2024-10301</t>
  </si>
  <si>
    <t>CUST-2668</t>
  </si>
  <si>
    <t>Classic Accessories 126</t>
  </si>
  <si>
    <t>ORD-2025-10302</t>
  </si>
  <si>
    <t>CUST-5599</t>
  </si>
  <si>
    <t>Elite Phones 202</t>
  </si>
  <si>
    <t>ORD-2025-10303</t>
  </si>
  <si>
    <t>CUST-1623</t>
  </si>
  <si>
    <t>Elite Storage 535</t>
  </si>
  <si>
    <t>ORD-2024-10304</t>
  </si>
  <si>
    <t>CUST-9035</t>
  </si>
  <si>
    <t>Elite Chairs 107</t>
  </si>
  <si>
    <t>ORD-2024-10305</t>
  </si>
  <si>
    <t>CUST-6286</t>
  </si>
  <si>
    <t>Pro Furnishings 991</t>
  </si>
  <si>
    <t>ORD-2024-10306</t>
  </si>
  <si>
    <t>CUST-7246</t>
  </si>
  <si>
    <t>Eco Chairs 105</t>
  </si>
  <si>
    <t>ORD-2025-10307</t>
  </si>
  <si>
    <t>CUST-2589</t>
  </si>
  <si>
    <t>Pro Phones 530</t>
  </si>
  <si>
    <t>ORD-2025-10308</t>
  </si>
  <si>
    <t>CUST-4153</t>
  </si>
  <si>
    <t>Basic Tables 911</t>
  </si>
  <si>
    <t>ORD-2025-10309</t>
  </si>
  <si>
    <t>CUST-6727</t>
  </si>
  <si>
    <t>Classic Tables 224</t>
  </si>
  <si>
    <t>ORD-2024-10310</t>
  </si>
  <si>
    <t>CUST-8860</t>
  </si>
  <si>
    <t>Prime Tables 214</t>
  </si>
  <si>
    <t>ORD-2024-10311</t>
  </si>
  <si>
    <t>CUST-3784</t>
  </si>
  <si>
    <t>Max Machines 988</t>
  </si>
  <si>
    <t>ORD-2024-10312</t>
  </si>
  <si>
    <t>CUST-3545</t>
  </si>
  <si>
    <t>Max Binders 425</t>
  </si>
  <si>
    <t>ORD-2024-10313</t>
  </si>
  <si>
    <t>CUST-4851</t>
  </si>
  <si>
    <t>Elite Phones 679</t>
  </si>
  <si>
    <t>ORD-2025-10314</t>
  </si>
  <si>
    <t>CUST-4770</t>
  </si>
  <si>
    <t>Pro Phones 764</t>
  </si>
  <si>
    <t>ORD-2025-10315</t>
  </si>
  <si>
    <t>CUST-1945</t>
  </si>
  <si>
    <t>Elite Labels 544</t>
  </si>
  <si>
    <t>ORD-2024-10316</t>
  </si>
  <si>
    <t>CUST-7565</t>
  </si>
  <si>
    <t>Smart Paper 817</t>
  </si>
  <si>
    <t>ORD-2024-10317</t>
  </si>
  <si>
    <t>CUST-9913</t>
  </si>
  <si>
    <t>Classic Labels 466</t>
  </si>
  <si>
    <t>ORD-2025-10318</t>
  </si>
  <si>
    <t>CUST-7992</t>
  </si>
  <si>
    <t>Pro Tables 778</t>
  </si>
  <si>
    <t>ORD-2024-10319</t>
  </si>
  <si>
    <t>CUST-8877</t>
  </si>
  <si>
    <t>Basic Phones 789</t>
  </si>
  <si>
    <t>ORD-2024-10320</t>
  </si>
  <si>
    <t>CUST-4589</t>
  </si>
  <si>
    <t>Prime Binders 554</t>
  </si>
  <si>
    <t>ORD-2024-10321</t>
  </si>
  <si>
    <t>CUST-4667</t>
  </si>
  <si>
    <t>Classic Art 299</t>
  </si>
  <si>
    <t>ORD-2024-10322</t>
  </si>
  <si>
    <t>CUST-7821</t>
  </si>
  <si>
    <t>Eco Accessories 220</t>
  </si>
  <si>
    <t>ORD-2024-10323</t>
  </si>
  <si>
    <t>CUST-8579</t>
  </si>
  <si>
    <t>Max Phones 422</t>
  </si>
  <si>
    <t>ORD-2024-10324</t>
  </si>
  <si>
    <t>CUST-6909</t>
  </si>
  <si>
    <t>ORD-2025-10325</t>
  </si>
  <si>
    <t>CUST-7212</t>
  </si>
  <si>
    <t>Basic Labels 102</t>
  </si>
  <si>
    <t>ORD-2025-10326</t>
  </si>
  <si>
    <t>CUST-7980</t>
  </si>
  <si>
    <t>Prime Copiers 170</t>
  </si>
  <si>
    <t>ORD-2025-10327</t>
  </si>
  <si>
    <t>CUST-1966</t>
  </si>
  <si>
    <t>Smart Furnishings 533</t>
  </si>
  <si>
    <t>ORD-2024-10328</t>
  </si>
  <si>
    <t>CUST-6163</t>
  </si>
  <si>
    <t>Classic Accessories 489</t>
  </si>
  <si>
    <t>ORD-2025-10329</t>
  </si>
  <si>
    <t>CUST-7239</t>
  </si>
  <si>
    <t>Smart Storage 439</t>
  </si>
  <si>
    <t>ORD-2025-10330</t>
  </si>
  <si>
    <t>CUST-9718</t>
  </si>
  <si>
    <t>Prime Storage 232</t>
  </si>
  <si>
    <t>ORD-2024-10331</t>
  </si>
  <si>
    <t>CUST-1116</t>
  </si>
  <si>
    <t>Prime Accessories 335</t>
  </si>
  <si>
    <t>ORD-2024-10332</t>
  </si>
  <si>
    <t>CUST-9346</t>
  </si>
  <si>
    <t>Smart Binders 939</t>
  </si>
  <si>
    <t>ORD-2025-10333</t>
  </si>
  <si>
    <t>CUST-5332</t>
  </si>
  <si>
    <t>Basic Machines 601</t>
  </si>
  <si>
    <t>ORD-2025-10334</t>
  </si>
  <si>
    <t>CUST-8081</t>
  </si>
  <si>
    <t>Pro Phones 968</t>
  </si>
  <si>
    <t>ORD-2024-10335</t>
  </si>
  <si>
    <t>CUST-3062</t>
  </si>
  <si>
    <t>Pro Storage 563</t>
  </si>
  <si>
    <t>ORD-2025-10336</t>
  </si>
  <si>
    <t>CUST-3621</t>
  </si>
  <si>
    <t>Prime Paper 559</t>
  </si>
  <si>
    <t>ORD-2024-10337</t>
  </si>
  <si>
    <t>Pro Copiers 999</t>
  </si>
  <si>
    <t>ORD-2024-10338</t>
  </si>
  <si>
    <t>CUST-4599</t>
  </si>
  <si>
    <t>Classic Labels 206</t>
  </si>
  <si>
    <t>ORD-2024-10339</t>
  </si>
  <si>
    <t>CUST-3066</t>
  </si>
  <si>
    <t>Eco Accessories 315</t>
  </si>
  <si>
    <t>ORD-2025-10340</t>
  </si>
  <si>
    <t>CUST-2752</t>
  </si>
  <si>
    <t>Elite Bookcases 988</t>
  </si>
  <si>
    <t>ORD-2024-10341</t>
  </si>
  <si>
    <t>CUST-6291</t>
  </si>
  <si>
    <t>Smart Binders 414</t>
  </si>
  <si>
    <t>ORD-2025-10342</t>
  </si>
  <si>
    <t>CUST-9969</t>
  </si>
  <si>
    <t>Eco Chairs 552</t>
  </si>
  <si>
    <t>ORD-2025-10343</t>
  </si>
  <si>
    <t>CUST-3335</t>
  </si>
  <si>
    <t>Smart Binders 574</t>
  </si>
  <si>
    <t>ORD-2025-10344</t>
  </si>
  <si>
    <t>CUST-7358</t>
  </si>
  <si>
    <t>Pro Machines 444</t>
  </si>
  <si>
    <t>ORD-2024-10345</t>
  </si>
  <si>
    <t>CUST-8025</t>
  </si>
  <si>
    <t>Elite Bookcases 184</t>
  </si>
  <si>
    <t>ORD-2024-10346</t>
  </si>
  <si>
    <t>CUST-4634</t>
  </si>
  <si>
    <t>Elite Furnishings 138</t>
  </si>
  <si>
    <t>ORD-2025-10347</t>
  </si>
  <si>
    <t>CUST-3400</t>
  </si>
  <si>
    <t>Eco Chairs 369</t>
  </si>
  <si>
    <t>ORD-2024-10348</t>
  </si>
  <si>
    <t>CUST-1172</t>
  </si>
  <si>
    <t>Max Chairs 487</t>
  </si>
  <si>
    <t>ORD-2024-10349</t>
  </si>
  <si>
    <t>CUST-9517</t>
  </si>
  <si>
    <t>Classic Phones 989</t>
  </si>
  <si>
    <t>ORD-2025-10350</t>
  </si>
  <si>
    <t>CUST-6697</t>
  </si>
  <si>
    <t>Max Furnishings 628</t>
  </si>
  <si>
    <t>ORD-2024-10351</t>
  </si>
  <si>
    <t>CUST-7644</t>
  </si>
  <si>
    <t>Elite Furnishings 279</t>
  </si>
  <si>
    <t>ORD-2025-10352</t>
  </si>
  <si>
    <t>CUST-9963</t>
  </si>
  <si>
    <t>Pro Storage 847</t>
  </si>
  <si>
    <t>ORD-2025-10353</t>
  </si>
  <si>
    <t>CUST-6382</t>
  </si>
  <si>
    <t>Elite Copiers 706</t>
  </si>
  <si>
    <t>ORD-2025-10354</t>
  </si>
  <si>
    <t>CUST-3253</t>
  </si>
  <si>
    <t>Prime Art 978</t>
  </si>
  <si>
    <t>ORD-2024-10355</t>
  </si>
  <si>
    <t>CUST-1058</t>
  </si>
  <si>
    <t>Classic Furnishings 498</t>
  </si>
  <si>
    <t>ORD-2024-10356</t>
  </si>
  <si>
    <t>CUST-6414</t>
  </si>
  <si>
    <t>Max Tables 829</t>
  </si>
  <si>
    <t>ORD-2025-10357</t>
  </si>
  <si>
    <t>CUST-9268</t>
  </si>
  <si>
    <t>Eco Chairs 346</t>
  </si>
  <si>
    <t>ORD-2025-10358</t>
  </si>
  <si>
    <t>CUST-1363</t>
  </si>
  <si>
    <t>Max Machines 770</t>
  </si>
  <si>
    <t>ORD-2025-10359</t>
  </si>
  <si>
    <t>CUST-2477</t>
  </si>
  <si>
    <t>Smart Bookcases 134</t>
  </si>
  <si>
    <t>ORD-2024-10360</t>
  </si>
  <si>
    <t>CUST-9571</t>
  </si>
  <si>
    <t>Classic Phones 586</t>
  </si>
  <si>
    <t>ORD-2024-10361</t>
  </si>
  <si>
    <t>CUST-3690</t>
  </si>
  <si>
    <t>Elite Furnishings 634</t>
  </si>
  <si>
    <t>ORD-2025-10362</t>
  </si>
  <si>
    <t>CUST-2909</t>
  </si>
  <si>
    <t>Basic Chairs 113</t>
  </si>
  <si>
    <t>ORD-2024-10363</t>
  </si>
  <si>
    <t>CUST-6755</t>
  </si>
  <si>
    <t>Elite Machines 216</t>
  </si>
  <si>
    <t>ORD-2025-10364</t>
  </si>
  <si>
    <t>CUST-1832</t>
  </si>
  <si>
    <t>Smart Tables 943</t>
  </si>
  <si>
    <t>ORD-2025-10365</t>
  </si>
  <si>
    <t>CUST-4452</t>
  </si>
  <si>
    <t>Prime Chairs 101</t>
  </si>
  <si>
    <t>ORD-2024-10366</t>
  </si>
  <si>
    <t>CUST-2203</t>
  </si>
  <si>
    <t>Basic Accessories 774</t>
  </si>
  <si>
    <t>ORD-2025-10367</t>
  </si>
  <si>
    <t>CUST-5397</t>
  </si>
  <si>
    <t>Max Tables 478</t>
  </si>
  <si>
    <t>ORD-2024-10368</t>
  </si>
  <si>
    <t>CUST-4696</t>
  </si>
  <si>
    <t>Eco Art 646</t>
  </si>
  <si>
    <t>ORD-2025-10369</t>
  </si>
  <si>
    <t>CUST-8246</t>
  </si>
  <si>
    <t>Prime Accessories 962</t>
  </si>
  <si>
    <t>ORD-2025-10370</t>
  </si>
  <si>
    <t>CUST-5672</t>
  </si>
  <si>
    <t>Eco Labels 646</t>
  </si>
  <si>
    <t>ORD-2024-10371</t>
  </si>
  <si>
    <t>CUST-8521</t>
  </si>
  <si>
    <t>Classic Copiers 505</t>
  </si>
  <si>
    <t>ORD-2024-10372</t>
  </si>
  <si>
    <t>CUST-2204</t>
  </si>
  <si>
    <t>Pro Art 906</t>
  </si>
  <si>
    <t>ORD-2025-10373</t>
  </si>
  <si>
    <t>Max Chairs 181</t>
  </si>
  <si>
    <t>ORD-2025-10374</t>
  </si>
  <si>
    <t>CUST-8566</t>
  </si>
  <si>
    <t>Prime Storage 951</t>
  </si>
  <si>
    <t>ORD-2025-10375</t>
  </si>
  <si>
    <t>CUST-2358</t>
  </si>
  <si>
    <t>Smart Labels 668</t>
  </si>
  <si>
    <t>ORD-2024-10376</t>
  </si>
  <si>
    <t>CUST-2810</t>
  </si>
  <si>
    <t>Pro Chairs 364</t>
  </si>
  <si>
    <t>ORD-2024-10377</t>
  </si>
  <si>
    <t>CUST-5166</t>
  </si>
  <si>
    <t>Basic Chairs 248</t>
  </si>
  <si>
    <t>ORD-2025-10378</t>
  </si>
  <si>
    <t>CUST-4875</t>
  </si>
  <si>
    <t>Basic Storage 360</t>
  </si>
  <si>
    <t>ORD-2025-10379</t>
  </si>
  <si>
    <t>CUST-3154</t>
  </si>
  <si>
    <t>Basic Accessories 988</t>
  </si>
  <si>
    <t>ORD-2024-10380</t>
  </si>
  <si>
    <t>CUST-6405</t>
  </si>
  <si>
    <t>Max Paper 334</t>
  </si>
  <si>
    <t>ORD-2024-10381</t>
  </si>
  <si>
    <t>CUST-5779</t>
  </si>
  <si>
    <t>Prime Bookcases 952</t>
  </si>
  <si>
    <t>ORD-2025-10382</t>
  </si>
  <si>
    <t>CUST-9943</t>
  </si>
  <si>
    <t>Prime Binders 523</t>
  </si>
  <si>
    <t>ORD-2025-10383</t>
  </si>
  <si>
    <t>Pro Phones 538</t>
  </si>
  <si>
    <t>ORD-2025-10384</t>
  </si>
  <si>
    <t>CUST-7438</t>
  </si>
  <si>
    <t>Basic Art 608</t>
  </si>
  <si>
    <t>ORD-2024-10385</t>
  </si>
  <si>
    <t>CUST-8432</t>
  </si>
  <si>
    <t>Prime Copiers 820</t>
  </si>
  <si>
    <t>ORD-2025-10386</t>
  </si>
  <si>
    <t>CUST-2834</t>
  </si>
  <si>
    <t>Classic Labels 670</t>
  </si>
  <si>
    <t>ORD-2025-10387</t>
  </si>
  <si>
    <t>CUST-4222</t>
  </si>
  <si>
    <t>Prime Furnishings 597</t>
  </si>
  <si>
    <t>ORD-2025-10388</t>
  </si>
  <si>
    <t>CUST-1053</t>
  </si>
  <si>
    <t>Prime Chairs 196</t>
  </si>
  <si>
    <t>ORD-2024-10389</t>
  </si>
  <si>
    <t>CUST-1457</t>
  </si>
  <si>
    <t>Elite Chairs 639</t>
  </si>
  <si>
    <t>ORD-2024-10390</t>
  </si>
  <si>
    <t>CUST-3930</t>
  </si>
  <si>
    <t>Elite Machines 563</t>
  </si>
  <si>
    <t>ORD-2024-10391</t>
  </si>
  <si>
    <t>CUST-7853</t>
  </si>
  <si>
    <t>Pro Furnishings 281</t>
  </si>
  <si>
    <t>ORD-2025-10392</t>
  </si>
  <si>
    <t>CUST-2267</t>
  </si>
  <si>
    <t>Eco Storage 285</t>
  </si>
  <si>
    <t>ORD-2024-10393</t>
  </si>
  <si>
    <t>CUST-6866</t>
  </si>
  <si>
    <t>Classic Furnishings 746</t>
  </si>
  <si>
    <t>ORD-2024-10394</t>
  </si>
  <si>
    <t>CUST-3160</t>
  </si>
  <si>
    <t>Eco Labels 815</t>
  </si>
  <si>
    <t>ORD-2024-10395</t>
  </si>
  <si>
    <t>CUST-8444</t>
  </si>
  <si>
    <t>Prime Furnishings 879</t>
  </si>
  <si>
    <t>ORD-2024-10396</t>
  </si>
  <si>
    <t>CUST-4765</t>
  </si>
  <si>
    <t>Pro Tables 142</t>
  </si>
  <si>
    <t>ORD-2025-10397</t>
  </si>
  <si>
    <t>CUST-2280</t>
  </si>
  <si>
    <t>Prime Machines 267</t>
  </si>
  <si>
    <t>ORD-2025-10398</t>
  </si>
  <si>
    <t>CUST-3177</t>
  </si>
  <si>
    <t>Eco Tables 378</t>
  </si>
  <si>
    <t>ORD-2024-10399</t>
  </si>
  <si>
    <t>CUST-4718</t>
  </si>
  <si>
    <t>Elite Machines 523</t>
  </si>
  <si>
    <t>ORD-2025-10400</t>
  </si>
  <si>
    <t>CUST-5647</t>
  </si>
  <si>
    <t>Elite Paper 308</t>
  </si>
  <si>
    <t>ORD-2025-10401</t>
  </si>
  <si>
    <t>CUST-7150</t>
  </si>
  <si>
    <t>Prime Paper 851</t>
  </si>
  <si>
    <t>ORD-2025-10402</t>
  </si>
  <si>
    <t>CUST-6694</t>
  </si>
  <si>
    <t>Classic Tables 151</t>
  </si>
  <si>
    <t>ORD-2024-10403</t>
  </si>
  <si>
    <t>CUST-7680</t>
  </si>
  <si>
    <t>Smart Tables 829</t>
  </si>
  <si>
    <t>ORD-2024-10404</t>
  </si>
  <si>
    <t>CUST-2700</t>
  </si>
  <si>
    <t>Classic Paper 237</t>
  </si>
  <si>
    <t>ORD-2024-10405</t>
  </si>
  <si>
    <t>CUST-2904</t>
  </si>
  <si>
    <t>Prime Chairs 891</t>
  </si>
  <si>
    <t>ORD-2024-10406</t>
  </si>
  <si>
    <t>CUST-9961</t>
  </si>
  <si>
    <t>Max Bookcases 812</t>
  </si>
  <si>
    <t>ORD-2025-10407</t>
  </si>
  <si>
    <t>CUST-9909</t>
  </si>
  <si>
    <t>Basic Furnishings 164</t>
  </si>
  <si>
    <t>ORD-2024-10408</t>
  </si>
  <si>
    <t>CUST-8520</t>
  </si>
  <si>
    <t>Smart Labels 261</t>
  </si>
  <si>
    <t>ORD-2025-10409</t>
  </si>
  <si>
    <t>CUST-5036</t>
  </si>
  <si>
    <t>Max Chairs 765</t>
  </si>
  <si>
    <t>ORD-2025-10410</t>
  </si>
  <si>
    <t>CUST-7721</t>
  </si>
  <si>
    <t>Pro Accessories 686</t>
  </si>
  <si>
    <t>ORD-2024-10411</t>
  </si>
  <si>
    <t>CUST-9495</t>
  </si>
  <si>
    <t>Smart Tables 100</t>
  </si>
  <si>
    <t>ORD-2025-10412</t>
  </si>
  <si>
    <t>CUST-2855</t>
  </si>
  <si>
    <t>Basic Tables 615</t>
  </si>
  <si>
    <t>ORD-2024-10413</t>
  </si>
  <si>
    <t>CUST-4329</t>
  </si>
  <si>
    <t>Basic Chairs 790</t>
  </si>
  <si>
    <t>ORD-2025-10414</t>
  </si>
  <si>
    <t>CUST-5094</t>
  </si>
  <si>
    <t>Smart Accessories 226</t>
  </si>
  <si>
    <t>ORD-2024-10415</t>
  </si>
  <si>
    <t>CUST-4194</t>
  </si>
  <si>
    <t>Max Storage 692</t>
  </si>
  <si>
    <t>ORD-2024-10416</t>
  </si>
  <si>
    <t>CUST-7087</t>
  </si>
  <si>
    <t>Basic Storage 684</t>
  </si>
  <si>
    <t>ORD-2025-10417</t>
  </si>
  <si>
    <t>CUST-7608</t>
  </si>
  <si>
    <t>Smart Furnishings 152</t>
  </si>
  <si>
    <t>ORD-2025-10418</t>
  </si>
  <si>
    <t>CUST-5269</t>
  </si>
  <si>
    <t>Max Art 736</t>
  </si>
  <si>
    <t>ORD-2024-10419</t>
  </si>
  <si>
    <t>CUST-7925</t>
  </si>
  <si>
    <t>Elite Copiers 971</t>
  </si>
  <si>
    <t>ORD-2025-10420</t>
  </si>
  <si>
    <t>CUST-6552</t>
  </si>
  <si>
    <t>Classic Phones 940</t>
  </si>
  <si>
    <t>ORD-2025-10421</t>
  </si>
  <si>
    <t>CUST-7131</t>
  </si>
  <si>
    <t>Pro Machines 579</t>
  </si>
  <si>
    <t>ORD-2025-10422</t>
  </si>
  <si>
    <t>CUST-2779</t>
  </si>
  <si>
    <t>Elite Binders 943</t>
  </si>
  <si>
    <t>ORD-2025-10423</t>
  </si>
  <si>
    <t>CUST-6077</t>
  </si>
  <si>
    <t>Elite Copiers 474</t>
  </si>
  <si>
    <t>ORD-2024-10424</t>
  </si>
  <si>
    <t>CUST-6169</t>
  </si>
  <si>
    <t>Prime Accessories 236</t>
  </si>
  <si>
    <t>ORD-2024-10425</t>
  </si>
  <si>
    <t>CUST-8904</t>
  </si>
  <si>
    <t>Prime Phones 881</t>
  </si>
  <si>
    <t>ORD-2024-10426</t>
  </si>
  <si>
    <t>CUST-9586</t>
  </si>
  <si>
    <t>Pro Labels 903</t>
  </si>
  <si>
    <t>ORD-2024-10427</t>
  </si>
  <si>
    <t>CUST-5431</t>
  </si>
  <si>
    <t>Max Copiers 402</t>
  </si>
  <si>
    <t>ORD-2025-10428</t>
  </si>
  <si>
    <t>CUST-8843</t>
  </si>
  <si>
    <t>Prime Accessories 419</t>
  </si>
  <si>
    <t>ORD-2025-10429</t>
  </si>
  <si>
    <t>CUST-7626</t>
  </si>
  <si>
    <t>Elite Phones 488</t>
  </si>
  <si>
    <t>ORD-2025-10430</t>
  </si>
  <si>
    <t>CUST-8562</t>
  </si>
  <si>
    <t>Prime Copiers 109</t>
  </si>
  <si>
    <t>ORD-2024-10431</t>
  </si>
  <si>
    <t>CUST-2732</t>
  </si>
  <si>
    <t>Max Paper 576</t>
  </si>
  <si>
    <t>ORD-2024-10432</t>
  </si>
  <si>
    <t>CUST-3989</t>
  </si>
  <si>
    <t>Max Machines 412</t>
  </si>
  <si>
    <t>ORD-2024-10433</t>
  </si>
  <si>
    <t>CUST-3522</t>
  </si>
  <si>
    <t>Classic Bookcases 291</t>
  </si>
  <si>
    <t>ORD-2024-10434</t>
  </si>
  <si>
    <t>CUST-7066</t>
  </si>
  <si>
    <t>Elite Art 946</t>
  </si>
  <si>
    <t>ORD-2025-10435</t>
  </si>
  <si>
    <t>CUST-2351</t>
  </si>
  <si>
    <t>Eco Accessories 705</t>
  </si>
  <si>
    <t>ORD-2025-10436</t>
  </si>
  <si>
    <t>CUST-7291</t>
  </si>
  <si>
    <t>Max Machines 151</t>
  </si>
  <si>
    <t>ORD-2024-10437</t>
  </si>
  <si>
    <t>CUST-4492</t>
  </si>
  <si>
    <t>Max Furnishings 803</t>
  </si>
  <si>
    <t>ORD-2024-10438</t>
  </si>
  <si>
    <t>CUST-5029</t>
  </si>
  <si>
    <t>Max Accessories 423</t>
  </si>
  <si>
    <t>ORD-2025-10439</t>
  </si>
  <si>
    <t>CUST-7252</t>
  </si>
  <si>
    <t>Elite Phones 276</t>
  </si>
  <si>
    <t>ORD-2025-10440</t>
  </si>
  <si>
    <t>CUST-7346</t>
  </si>
  <si>
    <t>Smart Storage 287</t>
  </si>
  <si>
    <t>ORD-2024-10441</t>
  </si>
  <si>
    <t>Basic Machines 610</t>
  </si>
  <si>
    <t>ORD-2024-10442</t>
  </si>
  <si>
    <t>CUST-3975</t>
  </si>
  <si>
    <t>Elite Bookcases 393</t>
  </si>
  <si>
    <t>ORD-2025-10443</t>
  </si>
  <si>
    <t>CUST-6588</t>
  </si>
  <si>
    <t>Prime Tables 242</t>
  </si>
  <si>
    <t>ORD-2024-10444</t>
  </si>
  <si>
    <t>CUST-2207</t>
  </si>
  <si>
    <t>Basic Furnishings 563</t>
  </si>
  <si>
    <t>ORD-2025-10445</t>
  </si>
  <si>
    <t>CUST-4475</t>
  </si>
  <si>
    <t>Prime Accessories 482</t>
  </si>
  <si>
    <t>ORD-2024-10446</t>
  </si>
  <si>
    <t>CUST-1351</t>
  </si>
  <si>
    <t>Eco Bookcases 215</t>
  </si>
  <si>
    <t>ORD-2025-10447</t>
  </si>
  <si>
    <t>CUST-9295</t>
  </si>
  <si>
    <t>Eco Storage 793</t>
  </si>
  <si>
    <t>ORD-2025-10448</t>
  </si>
  <si>
    <t>CUST-3614</t>
  </si>
  <si>
    <t>Basic Bookcases 182</t>
  </si>
  <si>
    <t>ORD-2024-10449</t>
  </si>
  <si>
    <t>CUST-1932</t>
  </si>
  <si>
    <t>Prime Chairs 631</t>
  </si>
  <si>
    <t>ORD-2024-10450</t>
  </si>
  <si>
    <t>Basic Machines 808</t>
  </si>
  <si>
    <t>ORD-2025-10451</t>
  </si>
  <si>
    <t>CUST-8672</t>
  </si>
  <si>
    <t>Pro Chairs 302</t>
  </si>
  <si>
    <t>ORD-2024-10452</t>
  </si>
  <si>
    <t>CUST-3907</t>
  </si>
  <si>
    <t>Classic Paper 272</t>
  </si>
  <si>
    <t>ORD-2024-10453</t>
  </si>
  <si>
    <t>CUST-8796</t>
  </si>
  <si>
    <t>Smart Accessories 149</t>
  </si>
  <si>
    <t>ORD-2025-10454</t>
  </si>
  <si>
    <t>CUST-2317</t>
  </si>
  <si>
    <t>Elite Labels 322</t>
  </si>
  <si>
    <t>ORD-2025-10455</t>
  </si>
  <si>
    <t>CUST-8643</t>
  </si>
  <si>
    <t>Max Furnishings 821</t>
  </si>
  <si>
    <t>ORD-2024-10456</t>
  </si>
  <si>
    <t>CUST-1800</t>
  </si>
  <si>
    <t>Basic Art 556</t>
  </si>
  <si>
    <t>ORD-2024-10457</t>
  </si>
  <si>
    <t>CUST-7688</t>
  </si>
  <si>
    <t>Smart Accessories 265</t>
  </si>
  <si>
    <t>ORD-2024-10458</t>
  </si>
  <si>
    <t>CUST-4957</t>
  </si>
  <si>
    <t>Elite Tables 418</t>
  </si>
  <si>
    <t>ORD-2024-10459</t>
  </si>
  <si>
    <t>CUST-1263</t>
  </si>
  <si>
    <t>Pro Phones 907</t>
  </si>
  <si>
    <t>ORD-2024-10460</t>
  </si>
  <si>
    <t>CUST-4745</t>
  </si>
  <si>
    <t>Basic Paper 233</t>
  </si>
  <si>
    <t>ORD-2025-10461</t>
  </si>
  <si>
    <t>CUST-5551</t>
  </si>
  <si>
    <t>Eco Copiers 603</t>
  </si>
  <si>
    <t>ORD-2025-10462</t>
  </si>
  <si>
    <t>CUST-3659</t>
  </si>
  <si>
    <t>Max Paper 700</t>
  </si>
  <si>
    <t>ORD-2024-10463</t>
  </si>
  <si>
    <t>CUST-6594</t>
  </si>
  <si>
    <t>Pro Binders 404</t>
  </si>
  <si>
    <t>ORD-2025-10464</t>
  </si>
  <si>
    <t>CUST-2626</t>
  </si>
  <si>
    <t>Eco Phones 208</t>
  </si>
  <si>
    <t>ORD-2025-10465</t>
  </si>
  <si>
    <t>CUST-7362</t>
  </si>
  <si>
    <t>Elite Paper 106</t>
  </si>
  <si>
    <t>ORD-2024-10466</t>
  </si>
  <si>
    <t>CUST-1748</t>
  </si>
  <si>
    <t>Eco Labels 914</t>
  </si>
  <si>
    <t>ORD-2024-10467</t>
  </si>
  <si>
    <t>CUST-2725</t>
  </si>
  <si>
    <t>Max Accessories 486</t>
  </si>
  <si>
    <t>ORD-2024-10468</t>
  </si>
  <si>
    <t>CUST-9470</t>
  </si>
  <si>
    <t>Max Copiers 867</t>
  </si>
  <si>
    <t>ORD-2025-10469</t>
  </si>
  <si>
    <t>CUST-4176</t>
  </si>
  <si>
    <t>Pro Binders 555</t>
  </si>
  <si>
    <t>ORD-2024-10470</t>
  </si>
  <si>
    <t>CUST-3448</t>
  </si>
  <si>
    <t>Pro Copiers 971</t>
  </si>
  <si>
    <t>ORD-2024-10471</t>
  </si>
  <si>
    <t>CUST-4970</t>
  </si>
  <si>
    <t>Pro Tables 833</t>
  </si>
  <si>
    <t>ORD-2024-10472</t>
  </si>
  <si>
    <t>CUST-6147</t>
  </si>
  <si>
    <t>Prime Binders 497</t>
  </si>
  <si>
    <t>ORD-2024-10473</t>
  </si>
  <si>
    <t>CUST-7208</t>
  </si>
  <si>
    <t>Pro Storage 756</t>
  </si>
  <si>
    <t>ORD-2024-10474</t>
  </si>
  <si>
    <t>CUST-2794</t>
  </si>
  <si>
    <t>Max Copiers 829</t>
  </si>
  <si>
    <t>ORD-2024-10475</t>
  </si>
  <si>
    <t>CUST-6249</t>
  </si>
  <si>
    <t>Prime Furnishings 827</t>
  </si>
  <si>
    <t>ORD-2025-10476</t>
  </si>
  <si>
    <t>CUST-5712</t>
  </si>
  <si>
    <t>Eco Chairs 365</t>
  </si>
  <si>
    <t>ORD-2024-10477</t>
  </si>
  <si>
    <t>CUST-3004</t>
  </si>
  <si>
    <t>Classic Storage 545</t>
  </si>
  <si>
    <t>ORD-2025-10478</t>
  </si>
  <si>
    <t>CUST-6920</t>
  </si>
  <si>
    <t>Pro Chairs 186</t>
  </si>
  <si>
    <t>ORD-2024-10479</t>
  </si>
  <si>
    <t>CUST-4838</t>
  </si>
  <si>
    <t>Classic Machines 561</t>
  </si>
  <si>
    <t>ORD-2024-10480</t>
  </si>
  <si>
    <t>CUST-7520</t>
  </si>
  <si>
    <t>Max Chairs 594</t>
  </si>
  <si>
    <t>ORD-2025-10481</t>
  </si>
  <si>
    <t>CUST-9947</t>
  </si>
  <si>
    <t>Eco Storage 923</t>
  </si>
  <si>
    <t>ORD-2025-10482</t>
  </si>
  <si>
    <t>CUST-4403</t>
  </si>
  <si>
    <t>Classic Machines 287</t>
  </si>
  <si>
    <t>ORD-2024-10483</t>
  </si>
  <si>
    <t>CUST-3583</t>
  </si>
  <si>
    <t>Basic Accessories 518</t>
  </si>
  <si>
    <t>ORD-2024-10484</t>
  </si>
  <si>
    <t>CUST-9432</t>
  </si>
  <si>
    <t>Pro Copiers 984</t>
  </si>
  <si>
    <t>ORD-2024-10485</t>
  </si>
  <si>
    <t>CUST-1801</t>
  </si>
  <si>
    <t>Max Furnishings 297</t>
  </si>
  <si>
    <t>ORD-2025-10486</t>
  </si>
  <si>
    <t>CUST-1594</t>
  </si>
  <si>
    <t>Elite Bookcases 802</t>
  </si>
  <si>
    <t>ORD-2025-10487</t>
  </si>
  <si>
    <t>CUST-8132</t>
  </si>
  <si>
    <t>Pro Tables 257</t>
  </si>
  <si>
    <t>ORD-2025-10488</t>
  </si>
  <si>
    <t>CUST-7685</t>
  </si>
  <si>
    <t>Prime Furnishings 299</t>
  </si>
  <si>
    <t>ORD-2024-10489</t>
  </si>
  <si>
    <t>CUST-2183</t>
  </si>
  <si>
    <t>Eco Tables 487</t>
  </si>
  <si>
    <t>ORD-2024-10490</t>
  </si>
  <si>
    <t>CUST-1636</t>
  </si>
  <si>
    <t>Prime Accessories 960</t>
  </si>
  <si>
    <t>ORD-2024-10491</t>
  </si>
  <si>
    <t>CUST-1350</t>
  </si>
  <si>
    <t>Smart Binders 191</t>
  </si>
  <si>
    <t>ORD-2025-10492</t>
  </si>
  <si>
    <t>CUST-4101</t>
  </si>
  <si>
    <t>Prime Accessories 118</t>
  </si>
  <si>
    <t>ORD-2025-10493</t>
  </si>
  <si>
    <t>CUST-4679</t>
  </si>
  <si>
    <t>Elite Storage 331</t>
  </si>
  <si>
    <t>ORD-2025-10494</t>
  </si>
  <si>
    <t>CUST-3765</t>
  </si>
  <si>
    <t>Prime Paper 996</t>
  </si>
  <si>
    <t>ORD-2024-10495</t>
  </si>
  <si>
    <t>CUST-9056</t>
  </si>
  <si>
    <t>Smart Phones 125</t>
  </si>
  <si>
    <t>ORD-2024-10496</t>
  </si>
  <si>
    <t>CUST-9801</t>
  </si>
  <si>
    <t>Eco Phones 220</t>
  </si>
  <si>
    <t>ORD-2025-10497</t>
  </si>
  <si>
    <t>CUST-2038</t>
  </si>
  <si>
    <t>Eco Chairs 795</t>
  </si>
  <si>
    <t>ORD-2024-10498</t>
  </si>
  <si>
    <t>CUST-1567</t>
  </si>
  <si>
    <t>Smart Accessories 896</t>
  </si>
  <si>
    <t>ORD-2025-10499</t>
  </si>
  <si>
    <t>CUST-1190</t>
  </si>
  <si>
    <t>Basic Chairs 255</t>
  </si>
  <si>
    <t>ORD-2024-10500</t>
  </si>
  <si>
    <t>CUST-5604</t>
  </si>
  <si>
    <t>Eco Chairs 210</t>
  </si>
  <si>
    <t>ORD-2024-10501</t>
  </si>
  <si>
    <t>CUST-7661</t>
  </si>
  <si>
    <t>Prime Phones 533</t>
  </si>
  <si>
    <t>ORD-2024-10502</t>
  </si>
  <si>
    <t>Elite Art 325</t>
  </si>
  <si>
    <t>ORD-2024-10503</t>
  </si>
  <si>
    <t>CUST-1534</t>
  </si>
  <si>
    <t>Prime Copiers 557</t>
  </si>
  <si>
    <t>ORD-2024-10504</t>
  </si>
  <si>
    <t>CUST-7422</t>
  </si>
  <si>
    <t>Smart Phones 674</t>
  </si>
  <si>
    <t>ORD-2025-10505</t>
  </si>
  <si>
    <t>CUST-9693</t>
  </si>
  <si>
    <t>Elite Art 553</t>
  </si>
  <si>
    <t>ORD-2024-10506</t>
  </si>
  <si>
    <t>CUST-5458</t>
  </si>
  <si>
    <t>Classic Art 339</t>
  </si>
  <si>
    <t>ORD-2024-10507</t>
  </si>
  <si>
    <t>CUST-3011</t>
  </si>
  <si>
    <t>Smart Furnishings 352</t>
  </si>
  <si>
    <t>ORD-2025-10508</t>
  </si>
  <si>
    <t>CUST-1826</t>
  </si>
  <si>
    <t>Classic Binders 602</t>
  </si>
  <si>
    <t>ORD-2024-10509</t>
  </si>
  <si>
    <t>CUST-3333</t>
  </si>
  <si>
    <t>Smart Machines 853</t>
  </si>
  <si>
    <t>ORD-2025-10510</t>
  </si>
  <si>
    <t>CUST-7901</t>
  </si>
  <si>
    <t>Classic Machines 599</t>
  </si>
  <si>
    <t>ORD-2024-10511</t>
  </si>
  <si>
    <t>CUST-9759</t>
  </si>
  <si>
    <t>Pro Storage 373</t>
  </si>
  <si>
    <t>ORD-2024-10512</t>
  </si>
  <si>
    <t>CUST-7232</t>
  </si>
  <si>
    <t>Smart Bookcases 920</t>
  </si>
  <si>
    <t>ORD-2025-10513</t>
  </si>
  <si>
    <t>Pro Labels 849</t>
  </si>
  <si>
    <t>ORD-2025-10514</t>
  </si>
  <si>
    <t>CUST-8993</t>
  </si>
  <si>
    <t>Prime Accessories 849</t>
  </si>
  <si>
    <t>ORD-2024-10515</t>
  </si>
  <si>
    <t>CUST-7729</t>
  </si>
  <si>
    <t>Smart Accessories 388</t>
  </si>
  <si>
    <t>ORD-2025-10516</t>
  </si>
  <si>
    <t>CUST-9986</t>
  </si>
  <si>
    <t>Classic Paper 752</t>
  </si>
  <si>
    <t>ORD-2024-10517</t>
  </si>
  <si>
    <t>CUST-2731</t>
  </si>
  <si>
    <t>Classic Copiers 143</t>
  </si>
  <si>
    <t>ORD-2025-10518</t>
  </si>
  <si>
    <t>CUST-4235</t>
  </si>
  <si>
    <t>Basic Furnishings 386</t>
  </si>
  <si>
    <t>ORD-2025-10519</t>
  </si>
  <si>
    <t>CUST-3377</t>
  </si>
  <si>
    <t>Classic Tables 592</t>
  </si>
  <si>
    <t>ORD-2025-10520</t>
  </si>
  <si>
    <t>CUST-3258</t>
  </si>
  <si>
    <t>Pro Tables 412</t>
  </si>
  <si>
    <t>ORD-2024-10521</t>
  </si>
  <si>
    <t>CUST-2155</t>
  </si>
  <si>
    <t>Prime Machines 393</t>
  </si>
  <si>
    <t>ORD-2025-10522</t>
  </si>
  <si>
    <t>CUST-8012</t>
  </si>
  <si>
    <t>Classic Labels 776</t>
  </si>
  <si>
    <t>ORD-2025-10523</t>
  </si>
  <si>
    <t>CUST-2917</t>
  </si>
  <si>
    <t>Max Phones 612</t>
  </si>
  <si>
    <t>ORD-2024-10524</t>
  </si>
  <si>
    <t>CUST-4653</t>
  </si>
  <si>
    <t>Basic Paper 315</t>
  </si>
  <si>
    <t>ORD-2024-10525</t>
  </si>
  <si>
    <t>CUST-3311</t>
  </si>
  <si>
    <t>Basic Chairs 333</t>
  </si>
  <si>
    <t>ORD-2024-10526</t>
  </si>
  <si>
    <t>CUST-2924</t>
  </si>
  <si>
    <t>Prime Chairs 215</t>
  </si>
  <si>
    <t>ORD-2025-10527</t>
  </si>
  <si>
    <t>CUST-7198</t>
  </si>
  <si>
    <t>Elite Tables 815</t>
  </si>
  <si>
    <t>ORD-2025-10528</t>
  </si>
  <si>
    <t>CUST-3419</t>
  </si>
  <si>
    <t>Basic Paper 388</t>
  </si>
  <si>
    <t>ORD-2024-10529</t>
  </si>
  <si>
    <t>CUST-2390</t>
  </si>
  <si>
    <t>Eco Binders 855</t>
  </si>
  <si>
    <t>ORD-2024-10530</t>
  </si>
  <si>
    <t>Classic Bookcases 947</t>
  </si>
  <si>
    <t>ORD-2025-10531</t>
  </si>
  <si>
    <t>CUST-8177</t>
  </si>
  <si>
    <t>Eco Binders 352</t>
  </si>
  <si>
    <t>ORD-2024-10532</t>
  </si>
  <si>
    <t>CUST-6357</t>
  </si>
  <si>
    <t>Pro Storage 364</t>
  </si>
  <si>
    <t>ORD-2025-10533</t>
  </si>
  <si>
    <t>CUST-7690</t>
  </si>
  <si>
    <t>Classic Tables 213</t>
  </si>
  <si>
    <t>ORD-2024-10534</t>
  </si>
  <si>
    <t>CUST-4487</t>
  </si>
  <si>
    <t>Smart Tables 659</t>
  </si>
  <si>
    <t>ORD-2025-10535</t>
  </si>
  <si>
    <t>CUST-8204</t>
  </si>
  <si>
    <t>Classic Accessories 325</t>
  </si>
  <si>
    <t>ORD-2024-10536</t>
  </si>
  <si>
    <t>CUST-1729</t>
  </si>
  <si>
    <t>Eco Copiers 243</t>
  </si>
  <si>
    <t>ORD-2025-10537</t>
  </si>
  <si>
    <t>CUST-4269</t>
  </si>
  <si>
    <t>Elite Chairs 777</t>
  </si>
  <si>
    <t>ORD-2024-10538</t>
  </si>
  <si>
    <t>CUST-1370</t>
  </si>
  <si>
    <t>Classic Art 772</t>
  </si>
  <si>
    <t>ORD-2024-10539</t>
  </si>
  <si>
    <t>CUST-5381</t>
  </si>
  <si>
    <t>Elite Tables 888</t>
  </si>
  <si>
    <t>ORD-2025-10540</t>
  </si>
  <si>
    <t>CUST-3694</t>
  </si>
  <si>
    <t>Classic Chairs 666</t>
  </si>
  <si>
    <t>ORD-2024-10541</t>
  </si>
  <si>
    <t>CUST-7563</t>
  </si>
  <si>
    <t>Basic Furnishings 350</t>
  </si>
  <si>
    <t>ORD-2025-10542</t>
  </si>
  <si>
    <t>CUST-4188</t>
  </si>
  <si>
    <t>Elite Copiers 831</t>
  </si>
  <si>
    <t>ORD-2024-10543</t>
  </si>
  <si>
    <t>CUST-9376</t>
  </si>
  <si>
    <t>Eco Bookcases 759</t>
  </si>
  <si>
    <t>ORD-2024-10544</t>
  </si>
  <si>
    <t>CUST-9094</t>
  </si>
  <si>
    <t>Max Copiers 440</t>
  </si>
  <si>
    <t>ORD-2025-10545</t>
  </si>
  <si>
    <t>CUST-2366</t>
  </si>
  <si>
    <t>Smart Art 201</t>
  </si>
  <si>
    <t>ORD-2024-10546</t>
  </si>
  <si>
    <t>CUST-7168</t>
  </si>
  <si>
    <t>Classic Storage 755</t>
  </si>
  <si>
    <t>ORD-2025-10547</t>
  </si>
  <si>
    <t>CUST-8157</t>
  </si>
  <si>
    <t>Prime Paper 143</t>
  </si>
  <si>
    <t>ORD-2024-10548</t>
  </si>
  <si>
    <t>CUST-9146</t>
  </si>
  <si>
    <t>Max Copiers 607</t>
  </si>
  <si>
    <t>ORD-2024-10549</t>
  </si>
  <si>
    <t>CUST-5129</t>
  </si>
  <si>
    <t>Prime Bookcases 402</t>
  </si>
  <si>
    <t>ORD-2025-10550</t>
  </si>
  <si>
    <t>CUST-6028</t>
  </si>
  <si>
    <t>Pro Art 287</t>
  </si>
  <si>
    <t>ORD-2024-10551</t>
  </si>
  <si>
    <t>CUST-8687</t>
  </si>
  <si>
    <t>Max Accessories 591</t>
  </si>
  <si>
    <t>ORD-2024-10552</t>
  </si>
  <si>
    <t>CUST-8172</t>
  </si>
  <si>
    <t>Elite Chairs 314</t>
  </si>
  <si>
    <t>ORD-2025-10553</t>
  </si>
  <si>
    <t>CUST-8861</t>
  </si>
  <si>
    <t>Pro Copiers 246</t>
  </si>
  <si>
    <t>ORD-2025-10554</t>
  </si>
  <si>
    <t>CUST-9241</t>
  </si>
  <si>
    <t>Pro Storage 128</t>
  </si>
  <si>
    <t>ORD-2024-10555</t>
  </si>
  <si>
    <t>CUST-2126</t>
  </si>
  <si>
    <t>Prime Furnishings 892</t>
  </si>
  <si>
    <t>ORD-2025-10556</t>
  </si>
  <si>
    <t>CUST-7513</t>
  </si>
  <si>
    <t>Prime Storage 689</t>
  </si>
  <si>
    <t>ORD-2024-10557</t>
  </si>
  <si>
    <t>CUST-1992</t>
  </si>
  <si>
    <t>Classic Tables 769</t>
  </si>
  <si>
    <t>ORD-2024-10558</t>
  </si>
  <si>
    <t>CUST-8848</t>
  </si>
  <si>
    <t>Prime Phones 503</t>
  </si>
  <si>
    <t>ORD-2025-10559</t>
  </si>
  <si>
    <t>CUST-9368</t>
  </si>
  <si>
    <t>Basic Machines 136</t>
  </si>
  <si>
    <t>ORD-2025-10560</t>
  </si>
  <si>
    <t>CUST-6797</t>
  </si>
  <si>
    <t>Basic Copiers 512</t>
  </si>
  <si>
    <t>ORD-2024-10561</t>
  </si>
  <si>
    <t>CUST-9333</t>
  </si>
  <si>
    <t>Smart Storage 767</t>
  </si>
  <si>
    <t>ORD-2025-10562</t>
  </si>
  <si>
    <t>CUST-6654</t>
  </si>
  <si>
    <t>Eco Copiers 954</t>
  </si>
  <si>
    <t>ORD-2024-10563</t>
  </si>
  <si>
    <t>CUST-8622</t>
  </si>
  <si>
    <t>Elite Binders 143</t>
  </si>
  <si>
    <t>ORD-2024-10564</t>
  </si>
  <si>
    <t>CUST-8776</t>
  </si>
  <si>
    <t>Classic Tables 560</t>
  </si>
  <si>
    <t>ORD-2024-10565</t>
  </si>
  <si>
    <t>CUST-9100</t>
  </si>
  <si>
    <t>Basic Tables 759</t>
  </si>
  <si>
    <t>ORD-2025-10566</t>
  </si>
  <si>
    <t>CUST-5601</t>
  </si>
  <si>
    <t>Prime Phones 564</t>
  </si>
  <si>
    <t>ORD-2024-10567</t>
  </si>
  <si>
    <t>CUST-5246</t>
  </si>
  <si>
    <t>Smart Paper 807</t>
  </si>
  <si>
    <t>ORD-2024-10568</t>
  </si>
  <si>
    <t>CUST-3128</t>
  </si>
  <si>
    <t>ORD-2024-10569</t>
  </si>
  <si>
    <t>CUST-4604</t>
  </si>
  <si>
    <t>Classic Machines 522</t>
  </si>
  <si>
    <t>ORD-2025-10570</t>
  </si>
  <si>
    <t>CUST-2586</t>
  </si>
  <si>
    <t>Elite Furnishings 822</t>
  </si>
  <si>
    <t>ORD-2025-10571</t>
  </si>
  <si>
    <t>CUST-6585</t>
  </si>
  <si>
    <t>Max Furnishings 647</t>
  </si>
  <si>
    <t>ORD-2025-10572</t>
  </si>
  <si>
    <t>CUST-3425</t>
  </si>
  <si>
    <t>Prime Phones 895</t>
  </si>
  <si>
    <t>ORD-2024-10573</t>
  </si>
  <si>
    <t>CUST-8633</t>
  </si>
  <si>
    <t>Eco Phones 368</t>
  </si>
  <si>
    <t>ORD-2025-10574</t>
  </si>
  <si>
    <t>CUST-8243</t>
  </si>
  <si>
    <t>Pro Phones 644</t>
  </si>
  <si>
    <t>ORD-2024-10575</t>
  </si>
  <si>
    <t>Smart Machines 566</t>
  </si>
  <si>
    <t>ORD-2025-10576</t>
  </si>
  <si>
    <t>CUST-5496</t>
  </si>
  <si>
    <t>Elite Furnishings 173</t>
  </si>
  <si>
    <t>ORD-2024-10577</t>
  </si>
  <si>
    <t>CUST-2228</t>
  </si>
  <si>
    <t>Smart Binders 417</t>
  </si>
  <si>
    <t>ORD-2025-10578</t>
  </si>
  <si>
    <t>CUST-4151</t>
  </si>
  <si>
    <t>Smart Furnishings 714</t>
  </si>
  <si>
    <t>ORD-2024-10579</t>
  </si>
  <si>
    <t>Elite Copiers 682</t>
  </si>
  <si>
    <t>ORD-2024-10580</t>
  </si>
  <si>
    <t>CUST-9617</t>
  </si>
  <si>
    <t>Pro Storage 482</t>
  </si>
  <si>
    <t>ORD-2025-10581</t>
  </si>
  <si>
    <t>CUST-7958</t>
  </si>
  <si>
    <t>Pro Chairs 888</t>
  </si>
  <si>
    <t>ORD-2025-10582</t>
  </si>
  <si>
    <t>CUST-9931</t>
  </si>
  <si>
    <t>Classic Art 611</t>
  </si>
  <si>
    <t>ORD-2024-10583</t>
  </si>
  <si>
    <t>CUST-2088</t>
  </si>
  <si>
    <t>Basic Art 174</t>
  </si>
  <si>
    <t>ORD-2024-10584</t>
  </si>
  <si>
    <t>CUST-1686</t>
  </si>
  <si>
    <t>Classic Storage 451</t>
  </si>
  <si>
    <t>ORD-2024-10585</t>
  </si>
  <si>
    <t>CUST-4894</t>
  </si>
  <si>
    <t>Pro Art 172</t>
  </si>
  <si>
    <t>ORD-2025-10586</t>
  </si>
  <si>
    <t>CUST-5201</t>
  </si>
  <si>
    <t>Prime Phones 744</t>
  </si>
  <si>
    <t>ORD-2025-10587</t>
  </si>
  <si>
    <t>CUST-8626</t>
  </si>
  <si>
    <t>Prime Binders 249</t>
  </si>
  <si>
    <t>ORD-2025-10588</t>
  </si>
  <si>
    <t>CUST-1013</t>
  </si>
  <si>
    <t>Eco Accessories 948</t>
  </si>
  <si>
    <t>ORD-2025-10589</t>
  </si>
  <si>
    <t>CUST-3601</t>
  </si>
  <si>
    <t>Classic Accessories 458</t>
  </si>
  <si>
    <t>ORD-2024-10590</t>
  </si>
  <si>
    <t>CUST-7846</t>
  </si>
  <si>
    <t>Max Phones 318</t>
  </si>
  <si>
    <t>ORD-2024-10591</t>
  </si>
  <si>
    <t>CUST-3433</t>
  </si>
  <si>
    <t>Elite Chairs 372</t>
  </si>
  <si>
    <t>ORD-2024-10592</t>
  </si>
  <si>
    <t>CUST-2423</t>
  </si>
  <si>
    <t>Eco Copiers 324</t>
  </si>
  <si>
    <t>ORD-2024-10593</t>
  </si>
  <si>
    <t>CUST-3559</t>
  </si>
  <si>
    <t>Classic Accessories 131</t>
  </si>
  <si>
    <t>ORD-2025-10594</t>
  </si>
  <si>
    <t>Eco Tables 550</t>
  </si>
  <si>
    <t>ORD-2024-10595</t>
  </si>
  <si>
    <t>CUST-6850</t>
  </si>
  <si>
    <t>Basic Chairs 932</t>
  </si>
  <si>
    <t>ORD-2025-10596</t>
  </si>
  <si>
    <t>CUST-5566</t>
  </si>
  <si>
    <t>Classic Phones 294</t>
  </si>
  <si>
    <t>ORD-2024-10597</t>
  </si>
  <si>
    <t>CUST-2593</t>
  </si>
  <si>
    <t>Elite Chairs 700</t>
  </si>
  <si>
    <t>ORD-2025-10598</t>
  </si>
  <si>
    <t>CUST-6957</t>
  </si>
  <si>
    <t>Prime Copiers 969</t>
  </si>
  <si>
    <t>ORD-2024-10599</t>
  </si>
  <si>
    <t>CUST-8498</t>
  </si>
  <si>
    <t>Eco Copiers 268</t>
  </si>
  <si>
    <t>ORD-2024-10600</t>
  </si>
  <si>
    <t>CUST-2612</t>
  </si>
  <si>
    <t>Pro Phones 588</t>
  </si>
  <si>
    <t>ORD-2025-10601</t>
  </si>
  <si>
    <t>CUST-6013</t>
  </si>
  <si>
    <t>Prime Storage 432</t>
  </si>
  <si>
    <t>ORD-2024-10602</t>
  </si>
  <si>
    <t>CUST-8289</t>
  </si>
  <si>
    <t>Basic Paper 452</t>
  </si>
  <si>
    <t>ORD-2024-10603</t>
  </si>
  <si>
    <t>CUST-5668</t>
  </si>
  <si>
    <t>Max Copiers 477</t>
  </si>
  <si>
    <t>ORD-2025-10604</t>
  </si>
  <si>
    <t>Prime Accessories 300</t>
  </si>
  <si>
    <t>ORD-2025-10605</t>
  </si>
  <si>
    <t>CUST-4526</t>
  </si>
  <si>
    <t>Max Binders 547</t>
  </si>
  <si>
    <t>ORD-2025-10606</t>
  </si>
  <si>
    <t>CUST-4447</t>
  </si>
  <si>
    <t>Pro Furnishings 267</t>
  </si>
  <si>
    <t>ORD-2025-10607</t>
  </si>
  <si>
    <t>CUST-2698</t>
  </si>
  <si>
    <t>Max Copiers 520</t>
  </si>
  <si>
    <t>ORD-2025-10608</t>
  </si>
  <si>
    <t>CUST-6297</t>
  </si>
  <si>
    <t>Max Storage 424</t>
  </si>
  <si>
    <t>ORD-2024-10609</t>
  </si>
  <si>
    <t>Elite Furnishings 706</t>
  </si>
  <si>
    <t>ORD-2025-10610</t>
  </si>
  <si>
    <t>CUST-4380</t>
  </si>
  <si>
    <t>Pro Chairs 908</t>
  </si>
  <si>
    <t>ORD-2024-10611</t>
  </si>
  <si>
    <t>Pro Chairs 712</t>
  </si>
  <si>
    <t>ORD-2025-10612</t>
  </si>
  <si>
    <t>CUST-6108</t>
  </si>
  <si>
    <t>Max Binders 785</t>
  </si>
  <si>
    <t>ORD-2025-10613</t>
  </si>
  <si>
    <t>CUST-5663</t>
  </si>
  <si>
    <t>Elite Phones 239</t>
  </si>
  <si>
    <t>ORD-2024-10614</t>
  </si>
  <si>
    <t>CUST-9311</t>
  </si>
  <si>
    <t>Basic Machines 413</t>
  </si>
  <si>
    <t>ORD-2024-10615</t>
  </si>
  <si>
    <t>CUST-8154</t>
  </si>
  <si>
    <t>Elite Chairs 140</t>
  </si>
  <si>
    <t>ORD-2024-10616</t>
  </si>
  <si>
    <t>CUST-4462</t>
  </si>
  <si>
    <t>Basic Art 771</t>
  </si>
  <si>
    <t>ORD-2024-10617</t>
  </si>
  <si>
    <t>CUST-4660</t>
  </si>
  <si>
    <t>Prime Paper 664</t>
  </si>
  <si>
    <t>ORD-2024-10618</t>
  </si>
  <si>
    <t>CUST-9002</t>
  </si>
  <si>
    <t>Pro Phones 226</t>
  </si>
  <si>
    <t>ORD-2024-10619</t>
  </si>
  <si>
    <t>CUST-1057</t>
  </si>
  <si>
    <t>Basic Tables 684</t>
  </si>
  <si>
    <t>ORD-2024-10620</t>
  </si>
  <si>
    <t>CUST-9596</t>
  </si>
  <si>
    <t>Prime Binders 938</t>
  </si>
  <si>
    <t>ORD-2024-10621</t>
  </si>
  <si>
    <t>CUST-6947</t>
  </si>
  <si>
    <t>Classic Machines 337</t>
  </si>
  <si>
    <t>ORD-2024-10622</t>
  </si>
  <si>
    <t>CUST-7236</t>
  </si>
  <si>
    <t>Max Chairs 748</t>
  </si>
  <si>
    <t>ORD-2025-10623</t>
  </si>
  <si>
    <t>CUST-1127</t>
  </si>
  <si>
    <t>Basic Storage 934</t>
  </si>
  <si>
    <t>ORD-2024-10624</t>
  </si>
  <si>
    <t>CUST-6262</t>
  </si>
  <si>
    <t>Pro Storage 509</t>
  </si>
  <si>
    <t>ORD-2024-10625</t>
  </si>
  <si>
    <t>CUST-5070</t>
  </si>
  <si>
    <t>Prime Chairs 765</t>
  </si>
  <si>
    <t>ORD-2024-10626</t>
  </si>
  <si>
    <t>CUST-7946</t>
  </si>
  <si>
    <t>Elite Chairs 358</t>
  </si>
  <si>
    <t>ORD-2025-10627</t>
  </si>
  <si>
    <t>CUST-1793</t>
  </si>
  <si>
    <t>Elite Machines 971</t>
  </si>
  <si>
    <t>ORD-2025-10628</t>
  </si>
  <si>
    <t>CUST-8839</t>
  </si>
  <si>
    <t>Max Phones 825</t>
  </si>
  <si>
    <t>ORD-2025-10629</t>
  </si>
  <si>
    <t>CUST-6725</t>
  </si>
  <si>
    <t>Eco Accessories 933</t>
  </si>
  <si>
    <t>ORD-2025-10630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</si>
  <si>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</si>
  <si>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</si>
  <si>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</si>
  <si>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</si>
  <si>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</si>
  <si>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</si>
  <si>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</si>
  <si>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</si>
  <si>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ORD-2025-10633</t>
  </si>
  <si>
    <t>CUST-4593</t>
  </si>
  <si>
    <t>Smart Furnishings 721</t>
  </si>
  <si>
    <t>ORD-2025-10634</t>
  </si>
  <si>
    <t>CUST-5043</t>
  </si>
  <si>
    <t>Basic Accessories 729</t>
  </si>
  <si>
    <t>ORD-2025-10635</t>
  </si>
  <si>
    <t>CUST-4722</t>
  </si>
  <si>
    <t>Classic Chairs 220</t>
  </si>
  <si>
    <t>ORD-2024-10636</t>
  </si>
  <si>
    <t>CUST-7931</t>
  </si>
  <si>
    <t>Max Chairs 305</t>
  </si>
  <si>
    <t>ORD-2024-10637</t>
  </si>
  <si>
    <t>CUST-7221</t>
  </si>
  <si>
    <t>Smart Paper 872</t>
  </si>
  <si>
    <t>ORD-2024-10638</t>
  </si>
  <si>
    <t>CUST-2594</t>
  </si>
  <si>
    <t>Max Copiers 994</t>
  </si>
  <si>
    <t>ORD-2024-10639</t>
  </si>
  <si>
    <t>CUST-2111</t>
  </si>
  <si>
    <t>Pro Storage 744</t>
  </si>
  <si>
    <t>ORD-2024-10640</t>
  </si>
  <si>
    <t>CUST-6829</t>
  </si>
  <si>
    <t>Elite Chairs 744</t>
  </si>
  <si>
    <t>ORD-2025-10641</t>
  </si>
  <si>
    <t>CUST-5061</t>
  </si>
  <si>
    <t>Basic Storage 973</t>
  </si>
  <si>
    <t>ORD-2025-10642</t>
  </si>
  <si>
    <t>CUST-7915</t>
  </si>
  <si>
    <t>Smart Furnishings 783</t>
  </si>
  <si>
    <t>ORD-2024-10643</t>
  </si>
  <si>
    <t>CUST-1940</t>
  </si>
  <si>
    <t>Prime Binders 287</t>
  </si>
  <si>
    <t>ORD-2024-10644</t>
  </si>
  <si>
    <t>Elite Labels 654</t>
  </si>
  <si>
    <t>ORD-2025-10645</t>
  </si>
  <si>
    <t>CUST-5549</t>
  </si>
  <si>
    <t>Pro Chairs 812</t>
  </si>
  <si>
    <t>ORD-2024-10646</t>
  </si>
  <si>
    <t>CUST-2314</t>
  </si>
  <si>
    <t>Basic Chairs 480</t>
  </si>
  <si>
    <t>ORD-2024-10647</t>
  </si>
  <si>
    <t>CUST-6360</t>
  </si>
  <si>
    <t>Elite Machines 955</t>
  </si>
  <si>
    <t>ORD-2025-10648</t>
  </si>
  <si>
    <t>CUST-9942</t>
  </si>
  <si>
    <t>Prime Art 461</t>
  </si>
  <si>
    <t>ORD-2024-10649</t>
  </si>
  <si>
    <t>CUST-1808</t>
  </si>
  <si>
    <t>Prime Art 301</t>
  </si>
  <si>
    <t>ORD-2025-10650</t>
  </si>
  <si>
    <t>CUST-7277</t>
  </si>
  <si>
    <t>Classic Accessories 354</t>
  </si>
  <si>
    <t>ORD-2024-10651</t>
  </si>
  <si>
    <t>Basic Accessories 210</t>
  </si>
  <si>
    <t>ORD-2025-10652</t>
  </si>
  <si>
    <t>CUST-2660</t>
  </si>
  <si>
    <t>Smart Paper 364</t>
  </si>
  <si>
    <t>ORD-2025-10653</t>
  </si>
  <si>
    <t>Smart Binders 999</t>
  </si>
  <si>
    <t>ORD-2025-10654</t>
  </si>
  <si>
    <t>CUST-3970</t>
  </si>
  <si>
    <t>Max Copiers 356</t>
  </si>
  <si>
    <t>ORD-2025-10655</t>
  </si>
  <si>
    <t>Classic Machines 639</t>
  </si>
  <si>
    <t>ORD-2025-10656</t>
  </si>
  <si>
    <t>CUST-8039</t>
  </si>
  <si>
    <t>Smart Furnishings 748</t>
  </si>
  <si>
    <t>ORD-2024-10657</t>
  </si>
  <si>
    <t>CUST-4446</t>
  </si>
  <si>
    <t>Pro Machines 589</t>
  </si>
  <si>
    <t>ORD-2025-10658</t>
  </si>
  <si>
    <t>CUST-7787</t>
  </si>
  <si>
    <t>Eco Storage 316</t>
  </si>
  <si>
    <t>ORD-2025-10659</t>
  </si>
  <si>
    <t>CUST-9074</t>
  </si>
  <si>
    <t>Eco Art 763</t>
  </si>
  <si>
    <t>ORD-2025-10660</t>
  </si>
  <si>
    <t>CUST-8330</t>
  </si>
  <si>
    <t>Pro Phones 356</t>
  </si>
  <si>
    <t>ORD-2025-10661</t>
  </si>
  <si>
    <t>CUST-5638</t>
  </si>
  <si>
    <t>Basic Phones 865</t>
  </si>
  <si>
    <t>ORD-2024-10662</t>
  </si>
  <si>
    <t>CUST-4537</t>
  </si>
  <si>
    <t>Max Machines 595</t>
  </si>
  <si>
    <t>ORD-2024-10663</t>
  </si>
  <si>
    <t>CUST-3181</t>
  </si>
  <si>
    <t>Elite Machines 367</t>
  </si>
  <si>
    <t>ORD-2024-10664</t>
  </si>
  <si>
    <t>CUST-1015</t>
  </si>
  <si>
    <t>Basic Copiers 787</t>
  </si>
  <si>
    <t>ORD-2024-10665</t>
  </si>
  <si>
    <t>CUST-2709</t>
  </si>
  <si>
    <t>Max Accessories 903</t>
  </si>
  <si>
    <t>ORD-2025-10666</t>
  </si>
  <si>
    <t>CUST-1197</t>
  </si>
  <si>
    <t>Max Art 660</t>
  </si>
  <si>
    <t>ORD-2024-10667</t>
  </si>
  <si>
    <t>CUST-7758</t>
  </si>
  <si>
    <t>Classic Copiers 908</t>
  </si>
  <si>
    <t>ORD-2025-10668</t>
  </si>
  <si>
    <t>CUST-3912</t>
  </si>
  <si>
    <t>Pro Machines 706</t>
  </si>
  <si>
    <t>ORD-2024-10669</t>
  </si>
  <si>
    <t>CUST-4190</t>
  </si>
  <si>
    <t>Pro Paper 187</t>
  </si>
  <si>
    <t>ORD-2024-10670</t>
  </si>
  <si>
    <t>CUST-7568</t>
  </si>
  <si>
    <t>Classic Tables 606</t>
  </si>
  <si>
    <t>ORD-2025-10671</t>
  </si>
  <si>
    <t>Smart Tables 835</t>
  </si>
  <si>
    <t>ORD-2024-10672</t>
  </si>
  <si>
    <t>CUST-3293</t>
  </si>
  <si>
    <t>Classic Copiers 583</t>
  </si>
  <si>
    <t>ORD-2024-10673</t>
  </si>
  <si>
    <t>CUST-8180</t>
  </si>
  <si>
    <t>Classic Chairs 460</t>
  </si>
  <si>
    <t>ORD-2025-10674</t>
  </si>
  <si>
    <t>CUST-2807</t>
  </si>
  <si>
    <t>Classic Bookcases 488</t>
  </si>
  <si>
    <t>ORD-2024-10675</t>
  </si>
  <si>
    <t>CUST-4081</t>
  </si>
  <si>
    <t>Basic Accessories 944</t>
  </si>
  <si>
    <t>ORD-2025-10676</t>
  </si>
  <si>
    <t>Eco Furnishings 217</t>
  </si>
  <si>
    <t>ORD-2025-10677</t>
  </si>
  <si>
    <t>CUST-9212</t>
  </si>
  <si>
    <t>Smart Phones 967</t>
  </si>
  <si>
    <t>ORD-2024-10678</t>
  </si>
  <si>
    <t>Smart Chairs 610</t>
  </si>
  <si>
    <t>ORD-2024-10679</t>
  </si>
  <si>
    <t>CUST-1674</t>
  </si>
  <si>
    <t>Prime Tables 123</t>
  </si>
  <si>
    <t>ORD-2025-10680</t>
  </si>
  <si>
    <t>CUST-2897</t>
  </si>
  <si>
    <t>Smart Copiers 579</t>
  </si>
  <si>
    <t>ORD-2024-10681</t>
  </si>
  <si>
    <t>CUST-1136</t>
  </si>
  <si>
    <t>Eco Accessories 658</t>
  </si>
  <si>
    <t>ORD-2024-10682</t>
  </si>
  <si>
    <t>CUST-1376</t>
  </si>
  <si>
    <t>Smart Tables 777</t>
  </si>
  <si>
    <t>ORD-2025-10683</t>
  </si>
  <si>
    <t>CUST-1553</t>
  </si>
  <si>
    <t>Eco Storage 861</t>
  </si>
  <si>
    <t>ORD-2025-10684</t>
  </si>
  <si>
    <t>CUST-5704</t>
  </si>
  <si>
    <t>Eco Furnishings 875</t>
  </si>
  <si>
    <t>ORD-2025-10685</t>
  </si>
  <si>
    <t>CUST-6738</t>
  </si>
  <si>
    <t>Prime Bookcases 784</t>
  </si>
  <si>
    <t>ORD-2025-10686</t>
  </si>
  <si>
    <t>Classic Art 380</t>
  </si>
  <si>
    <t>ORD-2024-10687</t>
  </si>
  <si>
    <t>CUST-3127</t>
  </si>
  <si>
    <t>Pro Copiers 502</t>
  </si>
  <si>
    <t>ORD-2025-10688</t>
  </si>
  <si>
    <t>CUST-9347</t>
  </si>
  <si>
    <t>Prime Tables 604</t>
  </si>
  <si>
    <t>ORD-2025-10689</t>
  </si>
  <si>
    <t>CUST-8575</t>
  </si>
  <si>
    <t>Basic Art 798</t>
  </si>
  <si>
    <t>ORD-2024-10690</t>
  </si>
  <si>
    <t>CUST-4382</t>
  </si>
  <si>
    <t>Elite Tables 717</t>
  </si>
  <si>
    <t>ORD-2024-10691</t>
  </si>
  <si>
    <t>CUST-6815</t>
  </si>
  <si>
    <t>Max Art 725</t>
  </si>
  <si>
    <t>ORD-2024-10692</t>
  </si>
  <si>
    <t>CUST-7309</t>
  </si>
  <si>
    <t>Smart Copiers 456</t>
  </si>
  <si>
    <t>ORD-2025-10693</t>
  </si>
  <si>
    <t>CUST-9531</t>
  </si>
  <si>
    <t>Prime Furnishings 883</t>
  </si>
  <si>
    <t>ORD-2025-10694</t>
  </si>
  <si>
    <t>CUST-6032</t>
  </si>
  <si>
    <t>Smart Bookcases 828</t>
  </si>
  <si>
    <t>ORD-2025-10695</t>
  </si>
  <si>
    <t>Classic Storage 291</t>
  </si>
  <si>
    <t>ORD-2024-10696</t>
  </si>
  <si>
    <t>CUST-6257</t>
  </si>
  <si>
    <t>Prime Machines 102</t>
  </si>
  <si>
    <t>ORD-2025-10697</t>
  </si>
  <si>
    <t>CUST-7812</t>
  </si>
  <si>
    <t>Classic Phones 842</t>
  </si>
  <si>
    <t>ORD-2025-10698</t>
  </si>
  <si>
    <t>CUST-6205</t>
  </si>
  <si>
    <t>Max Labels 970</t>
  </si>
  <si>
    <t>ORD-2024-10699</t>
  </si>
  <si>
    <t>CUST-5357</t>
  </si>
  <si>
    <t>Classic Machines 648</t>
  </si>
  <si>
    <t>ORD-2024-10700</t>
  </si>
  <si>
    <t>CUST-9802</t>
  </si>
  <si>
    <t>Max Bookcases 565</t>
  </si>
  <si>
    <t>ORD-2024-10701</t>
  </si>
  <si>
    <t>CUST-5646</t>
  </si>
  <si>
    <t>Basic Machines 220</t>
  </si>
  <si>
    <t>ORD-2024-10702</t>
  </si>
  <si>
    <t>CUST-7171</t>
  </si>
  <si>
    <t>Pro Art 151</t>
  </si>
  <si>
    <t>ORD-2025-10703</t>
  </si>
  <si>
    <t>CUST-5231</t>
  </si>
  <si>
    <t>Pro Tables 980</t>
  </si>
  <si>
    <t>ORD-2024-10704</t>
  </si>
  <si>
    <t>CUST-8734</t>
  </si>
  <si>
    <t>Classic Tables 997</t>
  </si>
  <si>
    <t>ORD-2024-10705</t>
  </si>
  <si>
    <t>CUST-4916</t>
  </si>
  <si>
    <t>Max Bookcases 738</t>
  </si>
  <si>
    <t>ORD-2024-10706</t>
  </si>
  <si>
    <t>CUST-3289</t>
  </si>
  <si>
    <t>Max Binders 411</t>
  </si>
  <si>
    <t>ORD-2024-10707</t>
  </si>
  <si>
    <t>CUST-4928</t>
  </si>
  <si>
    <t>Max Paper 343</t>
  </si>
  <si>
    <t>ORD-2025-10708</t>
  </si>
  <si>
    <t>CUST-4902</t>
  </si>
  <si>
    <t>Pro Accessories 485</t>
  </si>
  <si>
    <t>ORD-2025-10709</t>
  </si>
  <si>
    <t>CUST-6504</t>
  </si>
  <si>
    <t>Elite Bookcases 113</t>
  </si>
  <si>
    <t>ORD-2025-10710</t>
  </si>
  <si>
    <t>CUST-8036</t>
  </si>
  <si>
    <t>Eco Phones 787</t>
  </si>
  <si>
    <t>ORD-2024-10711</t>
  </si>
  <si>
    <t>CUST-7199</t>
  </si>
  <si>
    <t>Smart Art 279</t>
  </si>
  <si>
    <t>ORD-2025-10712</t>
  </si>
  <si>
    <t>CUST-6176</t>
  </si>
  <si>
    <t>Basic Machines 172</t>
  </si>
  <si>
    <t>ORD-2024-10713</t>
  </si>
  <si>
    <t>CUST-5127</t>
  </si>
  <si>
    <t>Smart Chairs 259</t>
  </si>
  <si>
    <t>ORD-2025-10714</t>
  </si>
  <si>
    <t>Pro Machines 987</t>
  </si>
  <si>
    <t>ORD-2025-10715</t>
  </si>
  <si>
    <t>CUST-9902</t>
  </si>
  <si>
    <t>Pro Copiers 206</t>
  </si>
  <si>
    <t>ORD-2025-10716</t>
  </si>
  <si>
    <t>CUST-7446</t>
  </si>
  <si>
    <t>Max Chairs 372</t>
  </si>
  <si>
    <t>ORD-2025-10717</t>
  </si>
  <si>
    <t>CUST-7540</t>
  </si>
  <si>
    <t>Basic Phones 496</t>
  </si>
  <si>
    <t>ORD-2025-10718</t>
  </si>
  <si>
    <t>CUST-8351</t>
  </si>
  <si>
    <t>Prime Machines 612</t>
  </si>
  <si>
    <t>ORD-2024-10719</t>
  </si>
  <si>
    <t>CUST-3918</t>
  </si>
  <si>
    <t>Smart Art 866</t>
  </si>
  <si>
    <t>ORD-2025-10720</t>
  </si>
  <si>
    <t>Pro Art 447</t>
  </si>
  <si>
    <t>ORD-2024-10721</t>
  </si>
  <si>
    <t>CUST-1991</t>
  </si>
  <si>
    <t>Smart Copiers 196</t>
  </si>
  <si>
    <t>ORD-2025-10722</t>
  </si>
  <si>
    <t>CUST-7606</t>
  </si>
  <si>
    <t>Pro Copiers 532</t>
  </si>
  <si>
    <t>ORD-2024-10723</t>
  </si>
  <si>
    <t>CUST-8844</t>
  </si>
  <si>
    <t>Eco Chairs 442</t>
  </si>
  <si>
    <t>ORD-2025-10724</t>
  </si>
  <si>
    <t>CUST-4335</t>
  </si>
  <si>
    <t>Eco Accessories 364</t>
  </si>
  <si>
    <t>ORD-2024-10725</t>
  </si>
  <si>
    <t>CUST-5891</t>
  </si>
  <si>
    <t>Elite Furnishings 921</t>
  </si>
  <si>
    <t>ORD-2025-10726</t>
  </si>
  <si>
    <t>CUST-6371</t>
  </si>
  <si>
    <t>Max Tables 309</t>
  </si>
  <si>
    <t>ORD-2024-10727</t>
  </si>
  <si>
    <t>CUST-6655</t>
  </si>
  <si>
    <t>Pro Phones 857</t>
  </si>
  <si>
    <t>ORD-2024-10728</t>
  </si>
  <si>
    <t>CUST-6492</t>
  </si>
  <si>
    <t>Max Accessories 567</t>
  </si>
  <si>
    <t>ORD-2024-10729</t>
  </si>
  <si>
    <t>CUST-1154</t>
  </si>
  <si>
    <t>Max Machines 200</t>
  </si>
  <si>
    <t>ORD-2025-10730</t>
  </si>
  <si>
    <t>CUST-8713</t>
  </si>
  <si>
    <t>Pro Machines 563</t>
  </si>
  <si>
    <t>ORD-2025-10731</t>
  </si>
  <si>
    <t>CUST-6765</t>
  </si>
  <si>
    <t>Elite Art 696</t>
  </si>
  <si>
    <t>ORD-2024-10732</t>
  </si>
  <si>
    <t>CUST-6849</t>
  </si>
  <si>
    <t>Eco Binders 178</t>
  </si>
  <si>
    <t>ORD-2024-10733</t>
  </si>
  <si>
    <t>CUST-4973</t>
  </si>
  <si>
    <t>Max Phones 678</t>
  </si>
  <si>
    <t>ORD-2024-10734</t>
  </si>
  <si>
    <t>CUST-2394</t>
  </si>
  <si>
    <t>Classic Furnishings 582</t>
  </si>
  <si>
    <t>ORD-2024-10735</t>
  </si>
  <si>
    <t>CUST-5406</t>
  </si>
  <si>
    <t>Classic Accessories 981</t>
  </si>
  <si>
    <t>ORD-2024-10736</t>
  </si>
  <si>
    <t>CUST-1963</t>
  </si>
  <si>
    <t>Classic Tables 534</t>
  </si>
  <si>
    <t>ORD-2024-10737</t>
  </si>
  <si>
    <t>CUST-9017</t>
  </si>
  <si>
    <t>Pro Chairs 383</t>
  </si>
  <si>
    <t>ORD-2024-10738</t>
  </si>
  <si>
    <t>CUST-7967</t>
  </si>
  <si>
    <t>Max Chairs 845</t>
  </si>
  <si>
    <t>ORD-2025-10739</t>
  </si>
  <si>
    <t>CUST-5334</t>
  </si>
  <si>
    <t>Prime Paper 307</t>
  </si>
  <si>
    <t>ORD-2024-10740</t>
  </si>
  <si>
    <t>CUST-5846</t>
  </si>
  <si>
    <t>Basic Phones 859</t>
  </si>
  <si>
    <t>ORD-2024-10741</t>
  </si>
  <si>
    <t>Eco Chairs 883</t>
  </si>
  <si>
    <t>ORD-2025-10742</t>
  </si>
  <si>
    <t>CUST-3285</t>
  </si>
  <si>
    <t>Max Chairs 706</t>
  </si>
  <si>
    <t>ORD-2024-10743</t>
  </si>
  <si>
    <t>CUST-6368</t>
  </si>
  <si>
    <t>Prime Paper 768</t>
  </si>
  <si>
    <t>ORD-2025-10744</t>
  </si>
  <si>
    <t>CUST-6231</t>
  </si>
  <si>
    <t>Basic Art 764</t>
  </si>
  <si>
    <t>ORD-2025-10745</t>
  </si>
  <si>
    <t>CUST-2021</t>
  </si>
  <si>
    <t>Prime Binders 181</t>
  </si>
  <si>
    <t>ORD-2024-10746</t>
  </si>
  <si>
    <t>CUST-1493</t>
  </si>
  <si>
    <t>Max Copiers 866</t>
  </si>
  <si>
    <t>ORD-2025-10747</t>
  </si>
  <si>
    <t>Pro Paper 662</t>
  </si>
  <si>
    <t>ORD-2024-10748</t>
  </si>
  <si>
    <t>CUST-8416</t>
  </si>
  <si>
    <t>Classic Paper 388</t>
  </si>
  <si>
    <t>ORD-2024-10749</t>
  </si>
  <si>
    <t>CUST-3103</t>
  </si>
  <si>
    <t>Pro Phones 765</t>
  </si>
  <si>
    <t>ORD-2024-10750</t>
  </si>
  <si>
    <t>CUST-4457</t>
  </si>
  <si>
    <t>Classic Machines 543</t>
  </si>
  <si>
    <t>ORD-2025-10751</t>
  </si>
  <si>
    <t>CUST-7036</t>
  </si>
  <si>
    <t>Max Accessories 291</t>
  </si>
  <si>
    <t>ORD-2025-10752</t>
  </si>
  <si>
    <t>CUST-8512</t>
  </si>
  <si>
    <t>Eco Machines 414</t>
  </si>
  <si>
    <t>ORD-2024-10753</t>
  </si>
  <si>
    <t>CUST-6345</t>
  </si>
  <si>
    <t>Basic Storage 273</t>
  </si>
  <si>
    <t>ORD-2024-10754</t>
  </si>
  <si>
    <t>CUST-4505</t>
  </si>
  <si>
    <t>Elite Furnishings 588</t>
  </si>
  <si>
    <t>ORD-2025-10755</t>
  </si>
  <si>
    <t>CUST-7960</t>
  </si>
  <si>
    <t>Elite Storage 857</t>
  </si>
  <si>
    <t>ORD-2025-10756</t>
  </si>
  <si>
    <t>CUST-3365</t>
  </si>
  <si>
    <t>Prime Storage 183</t>
  </si>
  <si>
    <t>ORD-2024-10757</t>
  </si>
  <si>
    <t>CUST-1557</t>
  </si>
  <si>
    <t>Smart Accessories 362</t>
  </si>
  <si>
    <t>ORD-2025-10758</t>
  </si>
  <si>
    <t>CUST-3058</t>
  </si>
  <si>
    <t>Classic Bookcases 310</t>
  </si>
  <si>
    <t>ORD-2024-10759</t>
  </si>
  <si>
    <t>CUST-6076</t>
  </si>
  <si>
    <t>Prime Chairs 721</t>
  </si>
  <si>
    <t>ORD-2024-10760</t>
  </si>
  <si>
    <t>CUST-2098</t>
  </si>
  <si>
    <t>Prime Tables 797</t>
  </si>
  <si>
    <t>ORD-2024-10761</t>
  </si>
  <si>
    <t>CUST-7193</t>
  </si>
  <si>
    <t>Max Art 926</t>
  </si>
  <si>
    <t>ORD-2025-10762</t>
  </si>
  <si>
    <t>CUST-8948</t>
  </si>
  <si>
    <t>Max Machines 364</t>
  </si>
  <si>
    <t>ORD-2024-10763</t>
  </si>
  <si>
    <t>CUST-6921</t>
  </si>
  <si>
    <t>Classic Machines 122</t>
  </si>
  <si>
    <t>ORD-2025-10764</t>
  </si>
  <si>
    <t>CUST-4086</t>
  </si>
  <si>
    <t>Elite Furnishings 169</t>
  </si>
  <si>
    <t>ORD-2025-10765</t>
  </si>
  <si>
    <t>Pro Bookcases 615</t>
  </si>
  <si>
    <t>ORD-2025-10766</t>
  </si>
  <si>
    <t>CUST-8747</t>
  </si>
  <si>
    <t>Max Labels 136</t>
  </si>
  <si>
    <t>ORD-2024-10767</t>
  </si>
  <si>
    <t>CUST-3156</t>
  </si>
  <si>
    <t>Prime Art 380</t>
  </si>
  <si>
    <t>ORD-2024-10768</t>
  </si>
  <si>
    <t>CUST-2043</t>
  </si>
  <si>
    <t>Classic Binders 234</t>
  </si>
  <si>
    <t>ORD-2025-10769</t>
  </si>
  <si>
    <t>CUST-8808</t>
  </si>
  <si>
    <t>Classic Paper 280</t>
  </si>
  <si>
    <t>ORD-2024-10770</t>
  </si>
  <si>
    <t>CUST-1293</t>
  </si>
  <si>
    <t>Classic Bookcases 922</t>
  </si>
  <si>
    <t>ORD-2024-10771</t>
  </si>
  <si>
    <t>CUST-8384</t>
  </si>
  <si>
    <t>Eco Copiers 396</t>
  </si>
  <si>
    <t>ORD-2024-10772</t>
  </si>
  <si>
    <t>Basic Machines 401</t>
  </si>
  <si>
    <t>ORD-2025-10773</t>
  </si>
  <si>
    <t>CUST-8422</t>
  </si>
  <si>
    <t>Basic Chairs 279</t>
  </si>
  <si>
    <t>ORD-2025-10774</t>
  </si>
  <si>
    <t>CUST-4766</t>
  </si>
  <si>
    <t>Basic Phones 753</t>
  </si>
  <si>
    <t>ORD-2025-10775</t>
  </si>
  <si>
    <t>CUST-1182</t>
  </si>
  <si>
    <t>Smart Machines 789</t>
  </si>
  <si>
    <t>ORD-2024-10776</t>
  </si>
  <si>
    <t>CUST-4461</t>
  </si>
  <si>
    <t>Elite Accessories 312</t>
  </si>
  <si>
    <t>ORD-2025-10777</t>
  </si>
  <si>
    <t>CUST-9690</t>
  </si>
  <si>
    <t>Eco Copiers 528</t>
  </si>
  <si>
    <t>ORD-2024-10778</t>
  </si>
  <si>
    <t>CUST-6879</t>
  </si>
  <si>
    <t>Elite Accessories 226</t>
  </si>
  <si>
    <t>ORD-2024-10779</t>
  </si>
  <si>
    <t>CUST-4714</t>
  </si>
  <si>
    <t>Pro Copiers 298</t>
  </si>
  <si>
    <t>ORD-2024-10780</t>
  </si>
  <si>
    <t>CUST-7547</t>
  </si>
  <si>
    <t>Prime Chairs 331</t>
  </si>
  <si>
    <t>ORD-2024-10781</t>
  </si>
  <si>
    <t>CUST-3288</t>
  </si>
  <si>
    <t>Classic Chairs 798</t>
  </si>
  <si>
    <t>ORD-2024-10782</t>
  </si>
  <si>
    <t>CUST-8597</t>
  </si>
  <si>
    <t>Classic Labels 204</t>
  </si>
  <si>
    <t>ORD-2025-10783</t>
  </si>
  <si>
    <t>CUST-9085</t>
  </si>
  <si>
    <t>Basic Copiers 254</t>
  </si>
  <si>
    <t>ORD-2024-10784</t>
  </si>
  <si>
    <t>CUST-7746</t>
  </si>
  <si>
    <t>Basic Art 709</t>
  </si>
  <si>
    <t>ORD-2025-10785</t>
  </si>
  <si>
    <t>CUST-3119</t>
  </si>
  <si>
    <t>Max Copiers 551</t>
  </si>
  <si>
    <t>ORD-2024-10786</t>
  </si>
  <si>
    <t>CUST-7518</t>
  </si>
  <si>
    <t>Eco Storage 183</t>
  </si>
  <si>
    <t>ORD-2025-10787</t>
  </si>
  <si>
    <t>CUST-1343</t>
  </si>
  <si>
    <t>Pro Furnishings 233</t>
  </si>
  <si>
    <t>ORD-2024-10788</t>
  </si>
  <si>
    <t>CUST-7548</t>
  </si>
  <si>
    <t>Prime Paper 878</t>
  </si>
  <si>
    <t>ORD-2024-10789</t>
  </si>
  <si>
    <t>CUST-3631</t>
  </si>
  <si>
    <t>Smart Chairs 353</t>
  </si>
  <si>
    <t>ORD-2025-10790</t>
  </si>
  <si>
    <t>CUST-1453</t>
  </si>
  <si>
    <t>Smart Copiers 408</t>
  </si>
  <si>
    <t>ORD-2024-10791</t>
  </si>
  <si>
    <t>CUST-1951</t>
  </si>
  <si>
    <t>Classic Art 781</t>
  </si>
  <si>
    <t>ORD-2024-10792</t>
  </si>
  <si>
    <t>CUST-6300</t>
  </si>
  <si>
    <t>Eco Bookcases 144</t>
  </si>
  <si>
    <t>ORD-2025-10793</t>
  </si>
  <si>
    <t>CUST-1417</t>
  </si>
  <si>
    <t>Elite Furnishings 852</t>
  </si>
  <si>
    <t>ORD-2024-10794</t>
  </si>
  <si>
    <t>CUST-5421</t>
  </si>
  <si>
    <t>Basic Copiers 238</t>
  </si>
  <si>
    <t>ORD-2025-10795</t>
  </si>
  <si>
    <t>CUST-2829</t>
  </si>
  <si>
    <t>Elite Paper 847</t>
  </si>
  <si>
    <t>ORD-2024-10796</t>
  </si>
  <si>
    <t>CUST-6529</t>
  </si>
  <si>
    <t>Pro Copiers 653</t>
  </si>
  <si>
    <t>ORD-2024-10797</t>
  </si>
  <si>
    <t>CUST-3126</t>
  </si>
  <si>
    <t>Elite Machines 459</t>
  </si>
  <si>
    <t>ORD-2024-10798</t>
  </si>
  <si>
    <t>CUST-3991</t>
  </si>
  <si>
    <t>Elite Binders 764</t>
  </si>
  <si>
    <t>ORD-2025-10799</t>
  </si>
  <si>
    <t>CUST-7553</t>
  </si>
  <si>
    <t>Classic Furnishings 348</t>
  </si>
  <si>
    <t>ORD-2024-10800</t>
  </si>
  <si>
    <t>CUST-8527</t>
  </si>
  <si>
    <t>Smart Accessories 487</t>
  </si>
  <si>
    <t>ORD-2024-10801</t>
  </si>
  <si>
    <t>CUST-5015</t>
  </si>
  <si>
    <t>Elite Storage 825</t>
  </si>
  <si>
    <t>ORD-2025-10802</t>
  </si>
  <si>
    <t>CUST-3344</t>
  </si>
  <si>
    <t>Pro Accessories 500</t>
  </si>
  <si>
    <t>ORD-2025-10803</t>
  </si>
  <si>
    <t>CUST-5866</t>
  </si>
  <si>
    <t>Pro Furnishings 909</t>
  </si>
  <si>
    <t>ORD-2024-10804</t>
  </si>
  <si>
    <t>CUST-7180</t>
  </si>
  <si>
    <t>Basic Labels 359</t>
  </si>
  <si>
    <t>ORD-2025-10805</t>
  </si>
  <si>
    <t>CUST-8745</t>
  </si>
  <si>
    <t>Eco Furnishings 541</t>
  </si>
  <si>
    <t>ORD-2025-10806</t>
  </si>
  <si>
    <t>Classic Binders 103</t>
  </si>
  <si>
    <t>ORD-2024-10807</t>
  </si>
  <si>
    <t>CUST-3704</t>
  </si>
  <si>
    <t>Max Copiers 560</t>
  </si>
  <si>
    <t>ORD-2025-10808</t>
  </si>
  <si>
    <t>CUST-5884</t>
  </si>
  <si>
    <t>Smart Labels 436</t>
  </si>
  <si>
    <t>ORD-2025-10809</t>
  </si>
  <si>
    <t>CUST-7503</t>
  </si>
  <si>
    <t>Pro Furnishings 386</t>
  </si>
  <si>
    <t>ORD-2025-10810</t>
  </si>
  <si>
    <t>CUST-6973</t>
  </si>
  <si>
    <t>Eco Binders 601</t>
  </si>
  <si>
    <t>ORD-2024-10811</t>
  </si>
  <si>
    <t>Pro Copiers 867</t>
  </si>
  <si>
    <t>ORD-2024-10812</t>
  </si>
  <si>
    <t>CUST-3303</t>
  </si>
  <si>
    <t>Eco Accessories 122</t>
  </si>
  <si>
    <t>ORD-2024-10813</t>
  </si>
  <si>
    <t>CUST-5754</t>
  </si>
  <si>
    <t>Basic Tables 127</t>
  </si>
  <si>
    <t>ORD-2025-10814</t>
  </si>
  <si>
    <t>CUST-7848</t>
  </si>
  <si>
    <t>ORD-2025-10815</t>
  </si>
  <si>
    <t>CUST-9048</t>
  </si>
  <si>
    <t>Smart Labels 126</t>
  </si>
  <si>
    <t>ORD-2024-10816</t>
  </si>
  <si>
    <t>CUST-2951</t>
  </si>
  <si>
    <t>Max Machines 569</t>
  </si>
  <si>
    <t>ORD-2024-10817</t>
  </si>
  <si>
    <t>CUST-3072</t>
  </si>
  <si>
    <t>Basic Furnishings 306</t>
  </si>
  <si>
    <t>ORD-2025-10818</t>
  </si>
  <si>
    <t>CUST-2221</t>
  </si>
  <si>
    <t>Classic Binders 873</t>
  </si>
  <si>
    <t>ORD-2024-10819</t>
  </si>
  <si>
    <t>CUST-3943</t>
  </si>
  <si>
    <t>Pro Labels 611</t>
  </si>
  <si>
    <t>ORD-2024-10820</t>
  </si>
  <si>
    <t>CUST-7510</t>
  </si>
  <si>
    <t>Prime Machines 524</t>
  </si>
  <si>
    <t>ORD-2025-10821</t>
  </si>
  <si>
    <t>CUST-2041</t>
  </si>
  <si>
    <t>Classic Bookcases 882</t>
  </si>
  <si>
    <t>ORD-2024-10822</t>
  </si>
  <si>
    <t>CUST-4466</t>
  </si>
  <si>
    <t>Classic Accessories 471</t>
  </si>
  <si>
    <t>ORD-2024-10823</t>
  </si>
  <si>
    <t>CUST-3188</t>
  </si>
  <si>
    <t>Smart Furnishings 175</t>
  </si>
  <si>
    <t>ORD-2025-10824</t>
  </si>
  <si>
    <t>CUST-6638</t>
  </si>
  <si>
    <t>Basic Paper 899</t>
  </si>
  <si>
    <t>ORD-2025-10825</t>
  </si>
  <si>
    <t>CUST-3540</t>
  </si>
  <si>
    <t>Pro Paper 267</t>
  </si>
  <si>
    <t>ORD-2025-10826</t>
  </si>
  <si>
    <t>CUST-3351</t>
  </si>
  <si>
    <t>Basic Machines 832</t>
  </si>
  <si>
    <t>ORD-2025-10827</t>
  </si>
  <si>
    <t>CUST-4375</t>
  </si>
  <si>
    <t>Elite Accessories 790</t>
  </si>
  <si>
    <t>ORD-2024-10828</t>
  </si>
  <si>
    <t>CUST-5125</t>
  </si>
  <si>
    <t>Basic Paper 707</t>
  </si>
  <si>
    <t>ORD-2025-10829</t>
  </si>
  <si>
    <t>CUST-6010</t>
  </si>
  <si>
    <t>Elite Chairs 979</t>
  </si>
  <si>
    <t>ORD-2024-10830</t>
  </si>
  <si>
    <t>CUST-9036</t>
  </si>
  <si>
    <t>Pro Furnishings 192</t>
  </si>
  <si>
    <t>ORD-2025-10831</t>
  </si>
  <si>
    <t>CUST-7929</t>
  </si>
  <si>
    <t>Smart Machines 951</t>
  </si>
  <si>
    <t>ORD-2025-10832</t>
  </si>
  <si>
    <t>CUST-1106</t>
  </si>
  <si>
    <t>Smart Chairs 794</t>
  </si>
  <si>
    <t>ORD-2025-10833</t>
  </si>
  <si>
    <t>CUST-9557</t>
  </si>
  <si>
    <t>Max Phones 919</t>
  </si>
  <si>
    <t>ORD-2024-10834</t>
  </si>
  <si>
    <t>CUST-2689</t>
  </si>
  <si>
    <t>Basic Bookcases 499</t>
  </si>
  <si>
    <t>ORD-2024-10835</t>
  </si>
  <si>
    <t>CUST-2879</t>
  </si>
  <si>
    <t>Basic Art 143</t>
  </si>
  <si>
    <t>ORD-2025-10836</t>
  </si>
  <si>
    <t>CUST-5150</t>
  </si>
  <si>
    <t>Prime Phones 338</t>
  </si>
  <si>
    <t>ORD-2024-10837</t>
  </si>
  <si>
    <t>CUST-9776</t>
  </si>
  <si>
    <t>Smart Labels 814</t>
  </si>
  <si>
    <t>ORD-2025-10838</t>
  </si>
  <si>
    <t>CUST-2551</t>
  </si>
  <si>
    <t>Prime Paper 812</t>
  </si>
  <si>
    <t>ORD-2025-10839</t>
  </si>
  <si>
    <t>CUST-4708</t>
  </si>
  <si>
    <t>Pro Paper 355</t>
  </si>
  <si>
    <t>ORD-2024-10840</t>
  </si>
  <si>
    <t>CUST-8206</t>
  </si>
  <si>
    <t>Basic Phones 398</t>
  </si>
  <si>
    <t>ORD-2025-10841</t>
  </si>
  <si>
    <t>CUST-1297</t>
  </si>
  <si>
    <t>Classic Chairs 204</t>
  </si>
  <si>
    <t>ORD-2025-10842</t>
  </si>
  <si>
    <t>CUST-7558</t>
  </si>
  <si>
    <t>Max Art 339</t>
  </si>
  <si>
    <t>ORD-2024-10843</t>
  </si>
  <si>
    <t>CUST-1798</t>
  </si>
  <si>
    <t>Smart Machines 581</t>
  </si>
  <si>
    <t>ORD-2025-10844</t>
  </si>
  <si>
    <t>CUST-7333</t>
  </si>
  <si>
    <t>Prime Phones 482</t>
  </si>
  <si>
    <t>ORD-2025-10845</t>
  </si>
  <si>
    <t>CUST-2086</t>
  </si>
  <si>
    <t>Pro Art 588</t>
  </si>
  <si>
    <t>ORD-2024-10846</t>
  </si>
  <si>
    <t>Eco Tables 792</t>
  </si>
  <si>
    <t>ORD-2024-10847</t>
  </si>
  <si>
    <t>CUST-6522</t>
  </si>
  <si>
    <t>Prime Bookcases 177</t>
  </si>
  <si>
    <t>ORD-2025-10848</t>
  </si>
  <si>
    <t>CUST-8329</t>
  </si>
  <si>
    <t>Pro Tables 828</t>
  </si>
  <si>
    <t>ORD-2025-10849</t>
  </si>
  <si>
    <t>CUST-4426</t>
  </si>
  <si>
    <t>Elite Furnishings 480</t>
  </si>
  <si>
    <t>ORD-2024-10850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</si>
  <si>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</si>
  <si>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</si>
  <si>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</si>
  <si>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</si>
  <si>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</si>
  <si>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</si>
  <si>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</si>
  <si>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</si>
  <si>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</si>
  <si>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CUST-9630</t>
  </si>
  <si>
    <t>Smart Tables 513</t>
  </si>
  <si>
    <t>ORD-2025-10854</t>
  </si>
  <si>
    <t>CUST-8274</t>
  </si>
  <si>
    <t>Elite Accessories 708</t>
  </si>
  <si>
    <t>ORD-2025-10855</t>
  </si>
  <si>
    <t>CUST-2514</t>
  </si>
  <si>
    <t>Max Bookcases 381</t>
  </si>
  <si>
    <t>ORD-2024-10856</t>
  </si>
  <si>
    <t>Classic Labels 215</t>
  </si>
  <si>
    <t>ORD-2024-10857</t>
  </si>
  <si>
    <t>Classic Storage 918</t>
  </si>
  <si>
    <t>ORD-2024-10858</t>
  </si>
  <si>
    <t>Max Storage 223</t>
  </si>
  <si>
    <t>ORD-2024-10859</t>
  </si>
  <si>
    <t>CUST-9576</t>
  </si>
  <si>
    <t>Basic Accessories 602</t>
  </si>
  <si>
    <t>ORD-2024-10860</t>
  </si>
  <si>
    <t>CUST-2395</t>
  </si>
  <si>
    <t>Elite Phones 394</t>
  </si>
  <si>
    <t>ORD-2024-10861</t>
  </si>
  <si>
    <t>CUST-8941</t>
  </si>
  <si>
    <t>Classic Storage 194</t>
  </si>
  <si>
    <t>ORD-2025-10862</t>
  </si>
  <si>
    <t>CUST-9448</t>
  </si>
  <si>
    <t>Smart Furnishings 892</t>
  </si>
  <si>
    <t>ORD-2025-10863</t>
  </si>
  <si>
    <t>CUST-8354</t>
  </si>
  <si>
    <t>Pro Binders 488</t>
  </si>
  <si>
    <t>ORD-2025-10864</t>
  </si>
  <si>
    <t>CUST-2200</t>
  </si>
  <si>
    <t>Prime Furnishings 679</t>
  </si>
  <si>
    <t>ORD-2025-10865</t>
  </si>
  <si>
    <t>CUST-1178</t>
  </si>
  <si>
    <t>Smart Phones 158</t>
  </si>
  <si>
    <t>ORD-2025-10866</t>
  </si>
  <si>
    <t>CUST-8099</t>
  </si>
  <si>
    <t>Classic Labels 218</t>
  </si>
  <si>
    <t>ORD-2025-10867</t>
  </si>
  <si>
    <t>CUST-7596</t>
  </si>
  <si>
    <t>Smart Bookcases 552</t>
  </si>
  <si>
    <t>ORD-2024-10868</t>
  </si>
  <si>
    <t>CUST-2328</t>
  </si>
  <si>
    <t>Eco Accessories 389</t>
  </si>
  <si>
    <t>ORD-2025-10869</t>
  </si>
  <si>
    <t>CUST-8483</t>
  </si>
  <si>
    <t>Elite Storage 187</t>
  </si>
  <si>
    <t>ORD-2025-10870</t>
  </si>
  <si>
    <t>CUST-2388</t>
  </si>
  <si>
    <t>ORD-2025-10871</t>
  </si>
  <si>
    <t>CUST-7054</t>
  </si>
  <si>
    <t>Max Tables 281</t>
  </si>
  <si>
    <t>ORD-2024-10872</t>
  </si>
  <si>
    <t>Pro Accessories 325</t>
  </si>
  <si>
    <t>ORD-2024-10873</t>
  </si>
  <si>
    <t>Prime Furnishings 178</t>
  </si>
  <si>
    <t>ORD-2025-10874</t>
  </si>
  <si>
    <t>CUST-8160</t>
  </si>
  <si>
    <t>Elite Storage 144</t>
  </si>
  <si>
    <t>ORD-2025-10875</t>
  </si>
  <si>
    <t>CUST-8770</t>
  </si>
  <si>
    <t>Elite Paper 309</t>
  </si>
  <si>
    <t>ORD-2024-10876</t>
  </si>
  <si>
    <t>CUST-6928</t>
  </si>
  <si>
    <t>Elite Copiers 752</t>
  </si>
  <si>
    <t>ORD-2024-10877</t>
  </si>
  <si>
    <t>CUST-9044</t>
  </si>
  <si>
    <t>ORD-2025-10878</t>
  </si>
  <si>
    <t>CUST-7146</t>
  </si>
  <si>
    <t>Max Storage 438</t>
  </si>
  <si>
    <t>ORD-2024-10879</t>
  </si>
  <si>
    <t>CUST-8534</t>
  </si>
  <si>
    <t>Basic Paper 904</t>
  </si>
  <si>
    <t>ORD-2025-10880</t>
  </si>
  <si>
    <t>CUST-4486</t>
  </si>
  <si>
    <t>Smart Art 990</t>
  </si>
  <si>
    <t>ORD-2024-10881</t>
  </si>
  <si>
    <t>CUST-5287</t>
  </si>
  <si>
    <t>Basic Chairs 327</t>
  </si>
  <si>
    <t>ORD-2024-10882</t>
  </si>
  <si>
    <t>CUST-3445</t>
  </si>
  <si>
    <t>Eco Copiers 987</t>
  </si>
  <si>
    <t>ORD-2025-10883</t>
  </si>
  <si>
    <t>CUST-4983</t>
  </si>
  <si>
    <t>Basic Accessories 607</t>
  </si>
  <si>
    <t>ORD-2025-10884</t>
  </si>
  <si>
    <t>CUST-2597</t>
  </si>
  <si>
    <t>Classic Storage 211</t>
  </si>
  <si>
    <t>ORD-2025-10885</t>
  </si>
  <si>
    <t>CUST-7505</t>
  </si>
  <si>
    <t>Eco Storage 783</t>
  </si>
  <si>
    <t>ORD-2024-10886</t>
  </si>
  <si>
    <t>CUST-3446</t>
  </si>
  <si>
    <t>Pro Tables 866</t>
  </si>
  <si>
    <t>ORD-2025-10887</t>
  </si>
  <si>
    <t>CUST-3549</t>
  </si>
  <si>
    <t>Max Accessories 541</t>
  </si>
  <si>
    <t>ORD-2024-10888</t>
  </si>
  <si>
    <t>CUST-2795</t>
  </si>
  <si>
    <t>Prime Art 596</t>
  </si>
  <si>
    <t>ORD-2025-10889</t>
  </si>
  <si>
    <t>CUST-1081</t>
  </si>
  <si>
    <t>Pro Art 620</t>
  </si>
  <si>
    <t>ORD-2025-10890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</si>
  <si>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</si>
  <si>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</si>
  <si>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</si>
  <si>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</si>
  <si>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</si>
  <si>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</si>
  <si>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</si>
  <si>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ORD-2025-10893</t>
  </si>
  <si>
    <t>CUST-5087</t>
  </si>
  <si>
    <t>Elite Copiers 221</t>
  </si>
  <si>
    <t>ORD-2024-10894</t>
  </si>
  <si>
    <t>CUST-9297</t>
  </si>
  <si>
    <t>Max Tables 291</t>
  </si>
  <si>
    <t>ORD-2024-10895</t>
  </si>
  <si>
    <t>CUST-7996</t>
  </si>
  <si>
    <t>Classic Tables 638</t>
  </si>
  <si>
    <t>ORD-2024-10896</t>
  </si>
  <si>
    <t>CUST-4117</t>
  </si>
  <si>
    <t>Basic Chairs 212</t>
  </si>
  <si>
    <t>ORD-2024-10897</t>
  </si>
  <si>
    <t>CUST-4848</t>
  </si>
  <si>
    <t>Max Copiers 121</t>
  </si>
  <si>
    <t>ORD-2025-10898</t>
  </si>
  <si>
    <t>Eco Paper 747</t>
  </si>
  <si>
    <t>ORD-2024-10899</t>
  </si>
  <si>
    <t>CUST-6046</t>
  </si>
  <si>
    <t>Classic Tables 535</t>
  </si>
  <si>
    <t>ORD-2025-10900</t>
  </si>
  <si>
    <t>CUST-3789</t>
  </si>
  <si>
    <t>Elite Chairs 971</t>
  </si>
  <si>
    <t/>
  </si>
  <si>
    <t>Invalid Date</t>
  </si>
  <si>
    <t>shipping_delay_days</t>
  </si>
  <si>
    <t>shipping_validation</t>
  </si>
  <si>
    <t>duplicate_check</t>
  </si>
  <si>
    <t>Unknown</t>
  </si>
  <si>
    <t>cleaned_discount</t>
  </si>
  <si>
    <t>calculated_sales</t>
  </si>
  <si>
    <t>calculated_profit</t>
  </si>
  <si>
    <t>profit_margin</t>
  </si>
  <si>
    <t>order_month</t>
  </si>
  <si>
    <t>order_year</t>
  </si>
  <si>
    <t>data_quality_flag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</si>
</sst>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yy"/>
  </numFmts>
  <fonts count="4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24406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0" fontId="0" fillId="0" borderId="0" xfId="0" applyAlignment="1">
      <alignment horizontal="center" vertical="center"/>
    </xf>
    <xf numFmtId="10" fontId="1" fillId="2" borderId="0" xfId="1" applyNumberFormat="1" applyFont="1" applyFill="1" applyAlignment="1">
      <alignment horizontal="center" vertical="center" wrapText="1"/>
    </xf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933"/>
  <sheetViews>
    <sheetView tabSelected="1" topLeftCell="R1" zoomScale="91" zoomScaleNormal="91" workbookViewId="0">
      <selection activeCell="Z20" sqref="Z20"/>
    </sheetView>
  </sheetViews>
  <sheetFormatPr defaultRowHeight="13.8"/>
  <cols>
    <col min="1" max="1" width="16" customWidth="1"/>
    <col min="2" max="2" width="16" style="3" customWidth="1"/>
    <col min="3" max="21" width="16" customWidth="1"/>
    <col min="22" max="22" width="17.19921875" customWidth="1"/>
    <col min="23" max="23" width="19.59765625" style="4" bestFit="1" customWidth="1"/>
    <col min="24" max="25" width="16.3984375" bestFit="1" customWidth="1"/>
    <col min="26" max="27" width="15.5" bestFit="1" customWidth="1"/>
    <col min="28" max="28" width="12.59765625" style="6" bestFit="1" customWidth="1"/>
    <col min="29" max="29" width="12.19921875" bestFit="1" customWidth="1"/>
    <col min="30" max="30" width="10.5" bestFit="1" customWidth="1"/>
    <col min="31" max="31" width="15.796875" bestFit="1" customWidth="1"/>
  </cols>
  <sheetData>
    <row r="1" spans="1:31" ht="22.3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2764</v>
      </c>
      <c r="W1" s="1" t="s">
        <v>2765</v>
      </c>
      <c r="X1" s="1" t="s">
        <v>2766</v>
      </c>
      <c r="Y1" s="1" t="s">
        <v>2768</v>
      </c>
      <c r="Z1" s="1" t="s">
        <v>2769</v>
      </c>
      <c r="AA1" s="1" t="s">
        <v>2770</v>
      </c>
      <c r="AB1" s="5" t="s">
        <v>2771</v>
      </c>
      <c r="AC1" s="1" t="s">
        <v>2772</v>
      </c>
      <c r="AD1" s="1" t="s">
        <v>2773</v>
      </c>
      <c r="AE1" s="1" t="s">
        <v>2774</v>
      </c>
    </row>
    <row r="2" spans="1:31">
      <c r="A2" t="s">
        <v>21</v>
      </c>
      <c r="B2" s="3">
        <v>45494</v>
      </c>
      <c r="C2" s="3" t="s">
        <v>2763</v>
      </c>
      <c r="D2" t="s">
        <v>22</v>
      </c>
      <c r="E2" t="s">
        <v>23</v>
      </c>
      <c r="F2" t="s">
        <v>24</v>
      </c>
      <c r="G2" t="s">
        <v>25</v>
      </c>
      <c r="H2" t="s">
        <v>26</v>
      </c>
      <c r="I2" t="s">
        <v>27</v>
      </c>
      <c r="J2" t="s">
        <v>28</v>
      </c>
      <c r="K2" t="s">
        <v>29</v>
      </c>
      <c r="L2" t="s">
        <v>30</v>
      </c>
      <c r="M2" t="s">
        <v>31</v>
      </c>
      <c r="N2">
        <v>8</v>
      </c>
      <c r="O2">
        <v>2976.45</v>
      </c>
      <c r="P2">
        <v>0.2</v>
      </c>
      <c r="Q2">
        <v>19049.28</v>
      </c>
      <c r="R2">
        <v>15841.89</v>
      </c>
      <c r="S2">
        <v>3207.39</v>
      </c>
      <c r="T2" t="s">
        <v>32</v>
      </c>
      <c r="U2" t="s">
        <v>33</v>
      </c>
      <c r="V2" t="str">
        <f>IF(OR(B2="Invalid Date",C2="Invalid Date"),"Invalid Date",C2-B2)</f>
        <v>Invalid Date</v>
      </c>
      <c r="W2" s="4" t="str">
        <f>IF(OR(B2="Invalid Date",C2="Invalid Date"),"Invalid Date",IF(C2&lt;B2,"Invalid Shipping","OK"))</f>
        <v>Invalid Date</v>
      </c>
      <c r="X2">
        <f>COUNTIF($A:$A,A2)</f>
        <v>1</v>
      </c>
      <c r="Y2">
        <f>IF(P2="",0,IF(OR(P2&lt;0,P2&gt;1),"Invalid",P2))</f>
        <v>0.2</v>
      </c>
      <c r="Z2">
        <f>IF(ISTEXT(Y2),"",N2*O2*(1-Y2))</f>
        <v>19049.28</v>
      </c>
      <c r="AA2">
        <f>IF(Z2="","",Z2-R2)</f>
        <v>3207.3899999999994</v>
      </c>
      <c r="AB2" s="6">
        <f>IF(OR(Z2="",Z2=0),"",AA2/Z2)</f>
        <v>0.16837329284886357</v>
      </c>
      <c r="AC2" t="str">
        <f>IF(ISNUMBER(B2),TEXT(B2,"mmmm"),"")</f>
        <v>July</v>
      </c>
      <c r="AD2">
        <f>IF(ISNUMBER(B2),YEAR(B2),"")</f>
        <v>2024</v>
      </c>
      <c r="AE2" t="str">
        <f>IF(OR(B2="Invalid Date",C2="Invalid Date",W2="Invalid Date",W2="Invalid Shipping",Y2="Invalid"),"Invalid",IF(OR(G2="Unknown",M2="Unknown"),"Warning","Clean"))</f>
        <v>Invalid</v>
      </c>
    </row>
    <row r="3" spans="1:31">
      <c r="A3" t="s">
        <v>34</v>
      </c>
      <c r="B3" s="3" t="s">
        <v>2763</v>
      </c>
      <c r="C3" s="3">
        <v>45540</v>
      </c>
      <c r="D3" t="s">
        <v>35</v>
      </c>
      <c r="E3" t="s">
        <v>36</v>
      </c>
      <c r="F3" t="s">
        <v>37</v>
      </c>
      <c r="G3" t="s">
        <v>38</v>
      </c>
      <c r="H3" t="s">
        <v>39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>
        <v>3</v>
      </c>
      <c r="O3">
        <v>2437.5</v>
      </c>
      <c r="P3">
        <v>0</v>
      </c>
      <c r="Q3">
        <v>7312.5</v>
      </c>
      <c r="R3">
        <v>4904.7299999999996</v>
      </c>
      <c r="S3">
        <v>2407.77</v>
      </c>
      <c r="T3" t="s">
        <v>32</v>
      </c>
      <c r="U3" t="s">
        <v>33</v>
      </c>
      <c r="V3" t="str">
        <f>IF(OR(B3="Invalid Date",C3="Invalid Date"),"Invalid Date",C3-B3)</f>
        <v>Invalid Date</v>
      </c>
      <c r="W3" s="4" t="str">
        <f>IF(OR(B3="Invalid Date",C3="Invalid Date"),"Invalid Date",IF(C3&lt;B3,"Invalid Shipping","OK"))</f>
        <v>Invalid Date</v>
      </c>
      <c r="X3">
        <f t="shared" ref="X3:X66" si="0">COUNTIF($A:$A,A3)</f>
        <v>1</v>
      </c>
      <c r="Y3">
        <f t="shared" ref="Y3:Y66" si="1">IF(P3="",0,IF(OR(P3&lt;0,P3&gt;1),"Invalid",P3))</f>
        <v>0</v>
      </c>
      <c r="Z3">
        <f t="shared" ref="Z3:Z66" si="2">IF(ISTEXT(Y3),"",N3*O3*(1-Y3))</f>
        <v>7312.5</v>
      </c>
      <c r="AA3">
        <f t="shared" ref="AA3:AA66" si="3">IF(Z3="","",Z3-R3)</f>
        <v>2407.7700000000004</v>
      </c>
      <c r="AB3" s="6">
        <f t="shared" ref="AB3:AB66" si="4">IF(OR(Z3="",Z3=0),"",AA3/Z3)</f>
        <v>0.32926769230769237</v>
      </c>
      <c r="AC3" t="str">
        <f t="shared" ref="AC3:AC66" si="5">IF(ISNUMBER(B3),TEXT(B3,"mmmm"),"")</f>
        <v/>
      </c>
      <c r="AD3" t="str">
        <f t="shared" ref="AD3:AD66" si="6">IF(ISNUMBER(B3),YEAR(B3),"")</f>
        <v/>
      </c>
      <c r="AE3" t="str">
        <f t="shared" ref="AE3:AE66" si="7">IF(OR(B3="Invalid Date",C3="Invalid Date",W3="Invalid Date",W3="Invalid Shipping",Y3="Invalid"),"Invalid",IF(OR(G3="Unknown",M3="Unknown"),"Warning","Clean"))</f>
        <v>Invalid</v>
      </c>
    </row>
    <row r="4" spans="1:31">
      <c r="A4" t="s">
        <v>45</v>
      </c>
      <c r="B4" s="3">
        <v>45510</v>
      </c>
      <c r="C4" s="3">
        <v>45458</v>
      </c>
      <c r="D4" t="s">
        <v>46</v>
      </c>
      <c r="E4" t="s">
        <v>47</v>
      </c>
      <c r="F4" t="s">
        <v>24</v>
      </c>
      <c r="G4" t="s">
        <v>38</v>
      </c>
      <c r="H4" t="s">
        <v>39</v>
      </c>
      <c r="I4" t="s">
        <v>40</v>
      </c>
      <c r="J4" t="s">
        <v>28</v>
      </c>
      <c r="K4" t="s">
        <v>48</v>
      </c>
      <c r="L4" t="s">
        <v>49</v>
      </c>
      <c r="M4" t="s">
        <v>50</v>
      </c>
      <c r="N4">
        <v>4</v>
      </c>
      <c r="O4">
        <v>1065.43</v>
      </c>
      <c r="P4">
        <v>0.55000000000000004</v>
      </c>
      <c r="Q4">
        <v>4261.72</v>
      </c>
      <c r="R4">
        <v>2465.69</v>
      </c>
      <c r="S4">
        <v>1796.03</v>
      </c>
      <c r="T4" t="s">
        <v>32</v>
      </c>
      <c r="U4" t="s">
        <v>33</v>
      </c>
      <c r="V4">
        <f>IF(OR(B4="Invalid Date",C4="Invalid Date"),"Invalid Date",C4-B4)</f>
        <v>-52</v>
      </c>
      <c r="W4" s="4" t="str">
        <f>IF(OR(B4="Invalid Date",C4="Invalid Date"),"Invalid Date",IF(C4&lt;B4,"Invalid Shipping","OK"))</f>
        <v>Invalid Shipping</v>
      </c>
      <c r="X4">
        <f t="shared" si="0"/>
        <v>1</v>
      </c>
      <c r="Y4">
        <f t="shared" si="1"/>
        <v>0.55000000000000004</v>
      </c>
      <c r="Z4">
        <f t="shared" si="2"/>
        <v>1917.7739999999999</v>
      </c>
      <c r="AA4">
        <f t="shared" si="3"/>
        <v>-547.91600000000017</v>
      </c>
      <c r="AB4" s="6">
        <f t="shared" si="4"/>
        <v>-0.28570415492127865</v>
      </c>
      <c r="AC4" t="str">
        <f t="shared" si="5"/>
        <v>August</v>
      </c>
      <c r="AD4">
        <f t="shared" si="6"/>
        <v>2024</v>
      </c>
      <c r="AE4" t="str">
        <f t="shared" si="7"/>
        <v>Invalid</v>
      </c>
    </row>
    <row r="5" spans="1:31">
      <c r="A5" t="s">
        <v>51</v>
      </c>
      <c r="B5" s="3">
        <v>45624</v>
      </c>
      <c r="C5" s="3" t="s">
        <v>2763</v>
      </c>
      <c r="D5" t="s">
        <v>52</v>
      </c>
      <c r="E5" t="s">
        <v>53</v>
      </c>
      <c r="F5" t="s">
        <v>37</v>
      </c>
      <c r="G5" t="s">
        <v>54</v>
      </c>
      <c r="H5" t="s">
        <v>55</v>
      </c>
      <c r="I5" t="s">
        <v>56</v>
      </c>
      <c r="J5" t="s">
        <v>41</v>
      </c>
      <c r="K5" t="s">
        <v>57</v>
      </c>
      <c r="L5" t="s">
        <v>58</v>
      </c>
      <c r="M5" t="s">
        <v>59</v>
      </c>
      <c r="N5">
        <v>6</v>
      </c>
      <c r="O5">
        <v>1848.43</v>
      </c>
      <c r="P5">
        <v>0.25</v>
      </c>
      <c r="Q5">
        <v>8317.93</v>
      </c>
      <c r="R5">
        <v>6796.77</v>
      </c>
      <c r="S5">
        <v>1521.16</v>
      </c>
      <c r="T5" t="s">
        <v>32</v>
      </c>
      <c r="U5" t="s">
        <v>33</v>
      </c>
      <c r="V5" t="str">
        <f>IF(OR(B5="Invalid Date",C5="Invalid Date"),"Invalid Date",C5-B5)</f>
        <v>Invalid Date</v>
      </c>
      <c r="W5" s="4" t="str">
        <f>IF(OR(B5="Invalid Date",C5="Invalid Date"),"Invalid Date",IF(C5&lt;B5,"Invalid Shipping","OK"))</f>
        <v>Invalid Date</v>
      </c>
      <c r="X5">
        <f t="shared" si="0"/>
        <v>1</v>
      </c>
      <c r="Y5">
        <f t="shared" si="1"/>
        <v>0.25</v>
      </c>
      <c r="Z5">
        <f t="shared" si="2"/>
        <v>8317.9349999999995</v>
      </c>
      <c r="AA5">
        <f t="shared" si="3"/>
        <v>1521.1649999999991</v>
      </c>
      <c r="AB5" s="6">
        <f t="shared" si="4"/>
        <v>0.18287772145370204</v>
      </c>
      <c r="AC5" t="str">
        <f t="shared" si="5"/>
        <v>November</v>
      </c>
      <c r="AD5">
        <f t="shared" si="6"/>
        <v>2024</v>
      </c>
      <c r="AE5" t="str">
        <f t="shared" si="7"/>
        <v>Invalid</v>
      </c>
    </row>
    <row r="6" spans="1:31">
      <c r="A6" t="s">
        <v>60</v>
      </c>
      <c r="B6" s="3">
        <v>45898</v>
      </c>
      <c r="C6" s="3">
        <v>45901</v>
      </c>
      <c r="D6" t="s">
        <v>61</v>
      </c>
      <c r="E6" t="s">
        <v>62</v>
      </c>
      <c r="F6" t="s">
        <v>37</v>
      </c>
      <c r="G6" t="s">
        <v>63</v>
      </c>
      <c r="H6" t="s">
        <v>64</v>
      </c>
      <c r="I6" t="s">
        <v>65</v>
      </c>
      <c r="J6" t="s">
        <v>41</v>
      </c>
      <c r="K6" t="s">
        <v>66</v>
      </c>
      <c r="L6" t="s">
        <v>67</v>
      </c>
      <c r="M6" t="s">
        <v>50</v>
      </c>
      <c r="N6">
        <v>7</v>
      </c>
      <c r="O6">
        <v>2973.76</v>
      </c>
      <c r="P6">
        <v>0</v>
      </c>
      <c r="Q6">
        <v>20816.32</v>
      </c>
      <c r="R6">
        <v>17705.37</v>
      </c>
      <c r="S6">
        <v>3110.95</v>
      </c>
      <c r="T6" t="s">
        <v>32</v>
      </c>
      <c r="U6" t="s">
        <v>68</v>
      </c>
      <c r="V6">
        <f>IF(OR(B6="Invalid Date",C6="Invalid Date"),"Invalid Date",C6-B6)</f>
        <v>3</v>
      </c>
      <c r="W6" s="4" t="str">
        <f>IF(OR(B6="Invalid Date",C6="Invalid Date"),"Invalid Date",IF(C6&lt;B6,"Invalid Shipping","OK"))</f>
        <v>OK</v>
      </c>
      <c r="X6">
        <f t="shared" si="0"/>
        <v>1</v>
      </c>
      <c r="Y6">
        <f t="shared" si="1"/>
        <v>0</v>
      </c>
      <c r="Z6">
        <f t="shared" si="2"/>
        <v>20816.32</v>
      </c>
      <c r="AA6">
        <f t="shared" si="3"/>
        <v>3110.9500000000007</v>
      </c>
      <c r="AB6" s="6">
        <f t="shared" si="4"/>
        <v>0.14944764492475138</v>
      </c>
      <c r="AC6" t="str">
        <f t="shared" si="5"/>
        <v>August</v>
      </c>
      <c r="AD6">
        <f t="shared" si="6"/>
        <v>2025</v>
      </c>
      <c r="AE6" t="str">
        <f t="shared" si="7"/>
        <v>Clean</v>
      </c>
    </row>
    <row r="7" spans="1:31">
      <c r="A7" t="s">
        <v>69</v>
      </c>
      <c r="B7" s="3">
        <v>45436</v>
      </c>
      <c r="C7" s="3">
        <v>45440</v>
      </c>
      <c r="D7" t="s">
        <v>70</v>
      </c>
      <c r="E7" t="s">
        <v>71</v>
      </c>
      <c r="F7" t="s">
        <v>37</v>
      </c>
      <c r="G7" t="s">
        <v>63</v>
      </c>
      <c r="H7" t="s">
        <v>72</v>
      </c>
      <c r="I7" t="s">
        <v>73</v>
      </c>
      <c r="J7" t="s">
        <v>74</v>
      </c>
      <c r="K7" t="s">
        <v>75</v>
      </c>
      <c r="L7" t="s">
        <v>76</v>
      </c>
      <c r="M7" t="s">
        <v>44</v>
      </c>
      <c r="N7">
        <v>3</v>
      </c>
      <c r="O7">
        <v>1053.1099999999999</v>
      </c>
      <c r="P7">
        <v>0.2</v>
      </c>
      <c r="Q7">
        <v>2527.46</v>
      </c>
      <c r="R7">
        <v>1533.58</v>
      </c>
      <c r="S7">
        <v>993.88</v>
      </c>
      <c r="T7" t="s">
        <v>32</v>
      </c>
      <c r="U7" t="s">
        <v>33</v>
      </c>
      <c r="V7">
        <f>IF(OR(B7="Invalid Date",C7="Invalid Date"),"Invalid Date",C7-B7)</f>
        <v>4</v>
      </c>
      <c r="W7" s="4" t="str">
        <f>IF(OR(B7="Invalid Date",C7="Invalid Date"),"Invalid Date",IF(C7&lt;B7,"Invalid Shipping","OK"))</f>
        <v>OK</v>
      </c>
      <c r="X7">
        <f t="shared" si="0"/>
        <v>1</v>
      </c>
      <c r="Y7">
        <f t="shared" si="1"/>
        <v>0.2</v>
      </c>
      <c r="Z7">
        <f t="shared" si="2"/>
        <v>2527.4639999999999</v>
      </c>
      <c r="AA7">
        <f t="shared" si="3"/>
        <v>993.88400000000001</v>
      </c>
      <c r="AB7" s="6">
        <f t="shared" si="4"/>
        <v>0.39323369195367375</v>
      </c>
      <c r="AC7" t="str">
        <f t="shared" si="5"/>
        <v>May</v>
      </c>
      <c r="AD7">
        <f t="shared" si="6"/>
        <v>2024</v>
      </c>
      <c r="AE7" t="str">
        <f t="shared" si="7"/>
        <v>Clean</v>
      </c>
    </row>
    <row r="8" spans="1:31">
      <c r="A8" t="s">
        <v>77</v>
      </c>
      <c r="B8" s="3">
        <v>45934</v>
      </c>
      <c r="C8" s="3" t="s">
        <v>2763</v>
      </c>
      <c r="D8" t="s">
        <v>78</v>
      </c>
      <c r="E8" t="s">
        <v>79</v>
      </c>
      <c r="F8" t="s">
        <v>24</v>
      </c>
      <c r="G8" t="s">
        <v>38</v>
      </c>
      <c r="H8" t="s">
        <v>39</v>
      </c>
      <c r="I8" t="s">
        <v>40</v>
      </c>
      <c r="J8" t="s">
        <v>74</v>
      </c>
      <c r="K8" t="s">
        <v>80</v>
      </c>
      <c r="L8" t="s">
        <v>81</v>
      </c>
      <c r="M8" t="s">
        <v>59</v>
      </c>
      <c r="N8">
        <v>4</v>
      </c>
      <c r="O8">
        <v>1719.87</v>
      </c>
      <c r="P8">
        <v>0.15</v>
      </c>
      <c r="Q8">
        <v>5847.56</v>
      </c>
      <c r="R8">
        <v>4727.25</v>
      </c>
      <c r="S8">
        <v>1120.31</v>
      </c>
      <c r="T8" t="s">
        <v>32</v>
      </c>
      <c r="U8" t="s">
        <v>33</v>
      </c>
      <c r="V8" t="str">
        <f>IF(OR(B8="Invalid Date",C8="Invalid Date"),"Invalid Date",C8-B8)</f>
        <v>Invalid Date</v>
      </c>
      <c r="W8" s="4" t="str">
        <f>IF(OR(B8="Invalid Date",C8="Invalid Date"),"Invalid Date",IF(C8&lt;B8,"Invalid Shipping","OK"))</f>
        <v>Invalid Date</v>
      </c>
      <c r="X8">
        <f t="shared" si="0"/>
        <v>1</v>
      </c>
      <c r="Y8">
        <f t="shared" si="1"/>
        <v>0.15</v>
      </c>
      <c r="Z8">
        <f t="shared" si="2"/>
        <v>5847.5579999999991</v>
      </c>
      <c r="AA8">
        <f t="shared" si="3"/>
        <v>1120.3079999999991</v>
      </c>
      <c r="AB8" s="6">
        <f t="shared" si="4"/>
        <v>0.19158561573908275</v>
      </c>
      <c r="AC8" t="str">
        <f t="shared" si="5"/>
        <v>October</v>
      </c>
      <c r="AD8">
        <f t="shared" si="6"/>
        <v>2025</v>
      </c>
      <c r="AE8" t="str">
        <f t="shared" si="7"/>
        <v>Invalid</v>
      </c>
    </row>
    <row r="9" spans="1:31">
      <c r="A9" t="s">
        <v>82</v>
      </c>
      <c r="B9" s="3">
        <v>45711</v>
      </c>
      <c r="C9" s="3">
        <v>45714</v>
      </c>
      <c r="D9" t="s">
        <v>83</v>
      </c>
      <c r="E9" t="s">
        <v>47</v>
      </c>
      <c r="F9" t="s">
        <v>37</v>
      </c>
      <c r="G9" t="s">
        <v>54</v>
      </c>
      <c r="H9" t="s">
        <v>84</v>
      </c>
      <c r="I9" t="s">
        <v>85</v>
      </c>
      <c r="J9" t="s">
        <v>28</v>
      </c>
      <c r="K9" t="s">
        <v>48</v>
      </c>
      <c r="L9" t="s">
        <v>86</v>
      </c>
      <c r="M9" t="s">
        <v>50</v>
      </c>
      <c r="N9">
        <v>1</v>
      </c>
      <c r="O9">
        <v>2980.71</v>
      </c>
      <c r="P9">
        <v>0</v>
      </c>
      <c r="Q9">
        <v>2980.71</v>
      </c>
      <c r="R9">
        <v>2357.2199999999998</v>
      </c>
      <c r="S9">
        <v>623.49</v>
      </c>
      <c r="T9" t="s">
        <v>32</v>
      </c>
      <c r="U9" t="s">
        <v>33</v>
      </c>
      <c r="V9">
        <f>IF(OR(B9="Invalid Date",C9="Invalid Date"),"Invalid Date",C9-B9)</f>
        <v>3</v>
      </c>
      <c r="W9" s="4" t="str">
        <f>IF(OR(B9="Invalid Date",C9="Invalid Date"),"Invalid Date",IF(C9&lt;B9,"Invalid Shipping","OK"))</f>
        <v>OK</v>
      </c>
      <c r="X9">
        <f t="shared" si="0"/>
        <v>1</v>
      </c>
      <c r="Y9">
        <f t="shared" si="1"/>
        <v>0</v>
      </c>
      <c r="Z9">
        <f t="shared" si="2"/>
        <v>2980.71</v>
      </c>
      <c r="AA9">
        <f t="shared" si="3"/>
        <v>623.49000000000024</v>
      </c>
      <c r="AB9" s="6">
        <f t="shared" si="4"/>
        <v>0.20917499521925992</v>
      </c>
      <c r="AC9" t="str">
        <f t="shared" si="5"/>
        <v>February</v>
      </c>
      <c r="AD9">
        <f t="shared" si="6"/>
        <v>2025</v>
      </c>
      <c r="AE9" t="str">
        <f t="shared" si="7"/>
        <v>Clean</v>
      </c>
    </row>
    <row r="10" spans="1:31">
      <c r="A10" t="s">
        <v>87</v>
      </c>
      <c r="B10" s="3">
        <v>45423</v>
      </c>
      <c r="C10" s="3">
        <v>45576</v>
      </c>
      <c r="D10" t="s">
        <v>88</v>
      </c>
      <c r="E10" t="s">
        <v>89</v>
      </c>
      <c r="F10" t="s">
        <v>90</v>
      </c>
      <c r="G10" t="s">
        <v>54</v>
      </c>
      <c r="H10" t="s">
        <v>55</v>
      </c>
      <c r="I10" t="s">
        <v>56</v>
      </c>
      <c r="J10" t="s">
        <v>28</v>
      </c>
      <c r="K10" t="s">
        <v>91</v>
      </c>
      <c r="L10" t="s">
        <v>92</v>
      </c>
      <c r="M10" t="s">
        <v>50</v>
      </c>
      <c r="N10">
        <v>8</v>
      </c>
      <c r="O10">
        <v>3134.2</v>
      </c>
      <c r="P10">
        <v>0</v>
      </c>
      <c r="Q10">
        <v>25073.599999999999</v>
      </c>
      <c r="R10">
        <v>17347.23</v>
      </c>
      <c r="S10">
        <v>7726.37</v>
      </c>
      <c r="T10" t="s">
        <v>32</v>
      </c>
      <c r="U10" t="s">
        <v>33</v>
      </c>
      <c r="V10">
        <f>IF(OR(B10="Invalid Date",C10="Invalid Date"),"Invalid Date",C10-B10)</f>
        <v>153</v>
      </c>
      <c r="W10" s="4" t="str">
        <f>IF(OR(B10="Invalid Date",C10="Invalid Date"),"Invalid Date",IF(C10&lt;B10,"Invalid Shipping","OK"))</f>
        <v>OK</v>
      </c>
      <c r="X10">
        <f t="shared" si="0"/>
        <v>1</v>
      </c>
      <c r="Y10">
        <f t="shared" si="1"/>
        <v>0</v>
      </c>
      <c r="Z10">
        <f t="shared" si="2"/>
        <v>25073.599999999999</v>
      </c>
      <c r="AA10">
        <f t="shared" si="3"/>
        <v>7726.369999999999</v>
      </c>
      <c r="AB10" s="6">
        <f t="shared" si="4"/>
        <v>0.30814761342607361</v>
      </c>
      <c r="AC10" t="str">
        <f t="shared" si="5"/>
        <v>May</v>
      </c>
      <c r="AD10">
        <f t="shared" si="6"/>
        <v>2024</v>
      </c>
      <c r="AE10" t="str">
        <f t="shared" si="7"/>
        <v>Clean</v>
      </c>
    </row>
    <row r="11" spans="1:31">
      <c r="A11" t="s">
        <v>93</v>
      </c>
      <c r="B11" s="3">
        <v>45907</v>
      </c>
      <c r="C11" s="3">
        <v>46000</v>
      </c>
      <c r="D11" t="s">
        <v>94</v>
      </c>
      <c r="E11" t="s">
        <v>36</v>
      </c>
      <c r="F11" t="s">
        <v>95</v>
      </c>
      <c r="G11" t="s">
        <v>54</v>
      </c>
      <c r="H11" t="s">
        <v>55</v>
      </c>
      <c r="I11" t="s">
        <v>56</v>
      </c>
      <c r="J11" t="s">
        <v>28</v>
      </c>
      <c r="K11" t="s">
        <v>29</v>
      </c>
      <c r="L11" t="s">
        <v>96</v>
      </c>
      <c r="M11" t="s">
        <v>31</v>
      </c>
      <c r="N11">
        <v>9</v>
      </c>
      <c r="O11">
        <v>852.04</v>
      </c>
      <c r="P11">
        <v>0.2</v>
      </c>
      <c r="Q11">
        <v>6134.69</v>
      </c>
      <c r="R11">
        <v>3800.19</v>
      </c>
      <c r="S11">
        <v>2334.5</v>
      </c>
      <c r="T11" t="s">
        <v>32</v>
      </c>
      <c r="U11" t="s">
        <v>33</v>
      </c>
      <c r="V11">
        <f>IF(OR(B11="Invalid Date",C11="Invalid Date"),"Invalid Date",C11-B11)</f>
        <v>93</v>
      </c>
      <c r="W11" s="4" t="str">
        <f>IF(OR(B11="Invalid Date",C11="Invalid Date"),"Invalid Date",IF(C11&lt;B11,"Invalid Shipping","OK"))</f>
        <v>OK</v>
      </c>
      <c r="X11">
        <f t="shared" si="0"/>
        <v>1</v>
      </c>
      <c r="Y11">
        <f t="shared" si="1"/>
        <v>0.2</v>
      </c>
      <c r="Z11">
        <f t="shared" si="2"/>
        <v>6134.6880000000001</v>
      </c>
      <c r="AA11">
        <f t="shared" si="3"/>
        <v>2334.498</v>
      </c>
      <c r="AB11" s="6">
        <f t="shared" si="4"/>
        <v>0.38054062407085737</v>
      </c>
      <c r="AC11" t="str">
        <f t="shared" si="5"/>
        <v>September</v>
      </c>
      <c r="AD11">
        <f t="shared" si="6"/>
        <v>2025</v>
      </c>
      <c r="AE11" t="str">
        <f t="shared" si="7"/>
        <v>Clean</v>
      </c>
    </row>
    <row r="12" spans="1:31">
      <c r="A12" t="s">
        <v>97</v>
      </c>
      <c r="B12" s="3">
        <v>45797</v>
      </c>
      <c r="C12" s="3" t="s">
        <v>2763</v>
      </c>
      <c r="D12" t="s">
        <v>98</v>
      </c>
      <c r="E12" t="s">
        <v>62</v>
      </c>
      <c r="F12" t="s">
        <v>90</v>
      </c>
      <c r="G12" t="s">
        <v>38</v>
      </c>
      <c r="H12" t="s">
        <v>99</v>
      </c>
      <c r="I12" t="s">
        <v>100</v>
      </c>
      <c r="J12" t="s">
        <v>28</v>
      </c>
      <c r="K12" t="s">
        <v>91</v>
      </c>
      <c r="L12" t="s">
        <v>101</v>
      </c>
      <c r="M12" t="s">
        <v>31</v>
      </c>
      <c r="N12">
        <v>3</v>
      </c>
      <c r="O12">
        <v>3534.83</v>
      </c>
      <c r="P12">
        <v>0.05</v>
      </c>
      <c r="Q12">
        <v>10074.27</v>
      </c>
      <c r="R12">
        <v>6048.27</v>
      </c>
      <c r="S12">
        <v>4026</v>
      </c>
      <c r="T12" t="s">
        <v>102</v>
      </c>
      <c r="U12" t="s">
        <v>103</v>
      </c>
      <c r="V12" t="str">
        <f>IF(OR(B12="Invalid Date",C12="Invalid Date"),"Invalid Date",C12-B12)</f>
        <v>Invalid Date</v>
      </c>
      <c r="W12" s="4" t="str">
        <f>IF(OR(B12="Invalid Date",C12="Invalid Date"),"Invalid Date",IF(C12&lt;B12,"Invalid Shipping","OK"))</f>
        <v>Invalid Date</v>
      </c>
      <c r="X12">
        <f t="shared" si="0"/>
        <v>1</v>
      </c>
      <c r="Y12">
        <f t="shared" si="1"/>
        <v>0.05</v>
      </c>
      <c r="Z12">
        <f t="shared" si="2"/>
        <v>10074.2655</v>
      </c>
      <c r="AA12">
        <f t="shared" si="3"/>
        <v>4025.9954999999991</v>
      </c>
      <c r="AB12" s="6">
        <f t="shared" si="4"/>
        <v>0.39963166545491574</v>
      </c>
      <c r="AC12" t="str">
        <f t="shared" si="5"/>
        <v>May</v>
      </c>
      <c r="AD12">
        <f t="shared" si="6"/>
        <v>2025</v>
      </c>
      <c r="AE12" t="str">
        <f t="shared" si="7"/>
        <v>Invalid</v>
      </c>
    </row>
    <row r="13" spans="1:31">
      <c r="A13" t="s">
        <v>104</v>
      </c>
      <c r="B13" s="3">
        <v>45495</v>
      </c>
      <c r="C13" s="3">
        <v>45496</v>
      </c>
      <c r="D13" t="s">
        <v>105</v>
      </c>
      <c r="E13" t="s">
        <v>71</v>
      </c>
      <c r="F13" t="s">
        <v>37</v>
      </c>
      <c r="G13" t="s">
        <v>38</v>
      </c>
      <c r="H13" t="s">
        <v>39</v>
      </c>
      <c r="I13" t="s">
        <v>40</v>
      </c>
      <c r="J13" t="s">
        <v>74</v>
      </c>
      <c r="K13" t="s">
        <v>75</v>
      </c>
      <c r="L13" t="s">
        <v>106</v>
      </c>
      <c r="M13" t="s">
        <v>44</v>
      </c>
      <c r="N13">
        <v>6</v>
      </c>
      <c r="O13">
        <v>2005.95</v>
      </c>
      <c r="P13">
        <v>0.2</v>
      </c>
      <c r="Q13">
        <v>9628.56</v>
      </c>
      <c r="R13">
        <v>8038.59</v>
      </c>
      <c r="S13">
        <v>1589.97</v>
      </c>
      <c r="T13" t="s">
        <v>32</v>
      </c>
      <c r="U13" t="s">
        <v>33</v>
      </c>
      <c r="V13">
        <f>IF(OR(B13="Invalid Date",C13="Invalid Date"),"Invalid Date",C13-B13)</f>
        <v>1</v>
      </c>
      <c r="W13" s="4" t="str">
        <f>IF(OR(B13="Invalid Date",C13="Invalid Date"),"Invalid Date",IF(C13&lt;B13,"Invalid Shipping","OK"))</f>
        <v>OK</v>
      </c>
      <c r="X13">
        <f t="shared" si="0"/>
        <v>1</v>
      </c>
      <c r="Y13">
        <f t="shared" si="1"/>
        <v>0.2</v>
      </c>
      <c r="Z13">
        <f t="shared" si="2"/>
        <v>9628.5600000000013</v>
      </c>
      <c r="AA13">
        <f t="shared" si="3"/>
        <v>1589.9700000000012</v>
      </c>
      <c r="AB13" s="6">
        <f t="shared" si="4"/>
        <v>0.16513061143099289</v>
      </c>
      <c r="AC13" t="str">
        <f t="shared" si="5"/>
        <v>July</v>
      </c>
      <c r="AD13">
        <f t="shared" si="6"/>
        <v>2024</v>
      </c>
      <c r="AE13" t="str">
        <f t="shared" si="7"/>
        <v>Clean</v>
      </c>
    </row>
    <row r="14" spans="1:31">
      <c r="A14" t="s">
        <v>107</v>
      </c>
      <c r="B14" s="3">
        <v>45646</v>
      </c>
      <c r="C14" s="3" t="s">
        <v>2763</v>
      </c>
      <c r="D14" t="s">
        <v>108</v>
      </c>
      <c r="E14" t="s">
        <v>62</v>
      </c>
      <c r="F14" t="s">
        <v>90</v>
      </c>
      <c r="G14" t="s">
        <v>63</v>
      </c>
      <c r="H14" t="s">
        <v>26</v>
      </c>
      <c r="I14" t="s">
        <v>109</v>
      </c>
      <c r="J14" t="s">
        <v>28</v>
      </c>
      <c r="K14" t="s">
        <v>29</v>
      </c>
      <c r="L14" t="s">
        <v>110</v>
      </c>
      <c r="M14" t="s">
        <v>50</v>
      </c>
      <c r="N14">
        <v>1</v>
      </c>
      <c r="O14">
        <v>702.14</v>
      </c>
      <c r="P14">
        <v>0.15</v>
      </c>
      <c r="Q14">
        <v>596.82000000000005</v>
      </c>
      <c r="R14">
        <v>380.25</v>
      </c>
      <c r="S14">
        <v>216.57</v>
      </c>
      <c r="T14" t="s">
        <v>111</v>
      </c>
      <c r="U14" t="s">
        <v>103</v>
      </c>
      <c r="V14" t="str">
        <f>IF(OR(B14="Invalid Date",C14="Invalid Date"),"Invalid Date",C14-B14)</f>
        <v>Invalid Date</v>
      </c>
      <c r="W14" s="4" t="str">
        <f>IF(OR(B14="Invalid Date",C14="Invalid Date"),"Invalid Date",IF(C14&lt;B14,"Invalid Shipping","OK"))</f>
        <v>Invalid Date</v>
      </c>
      <c r="X14">
        <f t="shared" si="0"/>
        <v>1</v>
      </c>
      <c r="Y14">
        <f t="shared" si="1"/>
        <v>0.15</v>
      </c>
      <c r="Z14">
        <f t="shared" si="2"/>
        <v>596.81899999999996</v>
      </c>
      <c r="AA14">
        <f t="shared" si="3"/>
        <v>216.56899999999996</v>
      </c>
      <c r="AB14" s="6">
        <f t="shared" si="4"/>
        <v>0.36287216057129545</v>
      </c>
      <c r="AC14" t="str">
        <f t="shared" si="5"/>
        <v>December</v>
      </c>
      <c r="AD14">
        <f t="shared" si="6"/>
        <v>2024</v>
      </c>
      <c r="AE14" t="str">
        <f t="shared" si="7"/>
        <v>Invalid</v>
      </c>
    </row>
    <row r="15" spans="1:31">
      <c r="A15" t="s">
        <v>112</v>
      </c>
      <c r="B15" s="3">
        <v>45942</v>
      </c>
      <c r="C15" s="3">
        <v>45946</v>
      </c>
      <c r="D15" t="s">
        <v>113</v>
      </c>
      <c r="E15" t="s">
        <v>114</v>
      </c>
      <c r="F15" t="s">
        <v>37</v>
      </c>
      <c r="G15" t="s">
        <v>63</v>
      </c>
      <c r="H15" t="s">
        <v>64</v>
      </c>
      <c r="I15" t="s">
        <v>65</v>
      </c>
      <c r="J15" t="s">
        <v>28</v>
      </c>
      <c r="K15" t="s">
        <v>48</v>
      </c>
      <c r="L15" t="s">
        <v>115</v>
      </c>
      <c r="M15" t="s">
        <v>31</v>
      </c>
      <c r="N15">
        <v>7</v>
      </c>
      <c r="O15">
        <v>3964.72</v>
      </c>
      <c r="P15">
        <v>0.05</v>
      </c>
      <c r="Q15">
        <v>26365.39</v>
      </c>
      <c r="R15">
        <v>22306.240000000002</v>
      </c>
      <c r="S15">
        <v>4059.15</v>
      </c>
      <c r="T15" t="s">
        <v>32</v>
      </c>
      <c r="U15" t="s">
        <v>33</v>
      </c>
      <c r="V15">
        <f>IF(OR(B15="Invalid Date",C15="Invalid Date"),"Invalid Date",C15-B15)</f>
        <v>4</v>
      </c>
      <c r="W15" s="4" t="str">
        <f>IF(OR(B15="Invalid Date",C15="Invalid Date"),"Invalid Date",IF(C15&lt;B15,"Invalid Shipping","OK"))</f>
        <v>OK</v>
      </c>
      <c r="X15">
        <f t="shared" si="0"/>
        <v>1</v>
      </c>
      <c r="Y15">
        <f t="shared" si="1"/>
        <v>0.05</v>
      </c>
      <c r="Z15">
        <f t="shared" si="2"/>
        <v>26365.387999999995</v>
      </c>
      <c r="AA15">
        <f t="shared" si="3"/>
        <v>4059.1479999999938</v>
      </c>
      <c r="AB15" s="6">
        <f t="shared" si="4"/>
        <v>0.15395745361304733</v>
      </c>
      <c r="AC15" t="str">
        <f t="shared" si="5"/>
        <v>October</v>
      </c>
      <c r="AD15">
        <f t="shared" si="6"/>
        <v>2025</v>
      </c>
      <c r="AE15" t="str">
        <f t="shared" si="7"/>
        <v>Clean</v>
      </c>
    </row>
    <row r="16" spans="1:31">
      <c r="A16" t="s">
        <v>116</v>
      </c>
      <c r="B16" s="3">
        <v>45653</v>
      </c>
      <c r="C16" s="3" t="s">
        <v>2763</v>
      </c>
      <c r="D16" t="s">
        <v>117</v>
      </c>
      <c r="E16" t="s">
        <v>118</v>
      </c>
      <c r="F16" t="s">
        <v>24</v>
      </c>
      <c r="G16" t="s">
        <v>63</v>
      </c>
      <c r="H16" t="s">
        <v>26</v>
      </c>
      <c r="I16" t="s">
        <v>109</v>
      </c>
      <c r="J16" t="s">
        <v>74</v>
      </c>
      <c r="K16" t="s">
        <v>80</v>
      </c>
      <c r="L16" t="s">
        <v>119</v>
      </c>
      <c r="M16" t="s">
        <v>59</v>
      </c>
      <c r="N16">
        <v>2</v>
      </c>
      <c r="O16">
        <v>2737.83</v>
      </c>
      <c r="P16">
        <v>0.25</v>
      </c>
      <c r="Q16">
        <v>4106.74</v>
      </c>
      <c r="R16">
        <v>2666.3</v>
      </c>
      <c r="S16">
        <v>1440.44</v>
      </c>
      <c r="T16" t="s">
        <v>32</v>
      </c>
      <c r="U16" t="s">
        <v>33</v>
      </c>
      <c r="V16" t="str">
        <f>IF(OR(B16="Invalid Date",C16="Invalid Date"),"Invalid Date",C16-B16)</f>
        <v>Invalid Date</v>
      </c>
      <c r="W16" s="4" t="str">
        <f>IF(OR(B16="Invalid Date",C16="Invalid Date"),"Invalid Date",IF(C16&lt;B16,"Invalid Shipping","OK"))</f>
        <v>Invalid Date</v>
      </c>
      <c r="X16">
        <f t="shared" si="0"/>
        <v>1</v>
      </c>
      <c r="Y16">
        <f t="shared" si="1"/>
        <v>0.25</v>
      </c>
      <c r="Z16">
        <f t="shared" si="2"/>
        <v>4106.7449999999999</v>
      </c>
      <c r="AA16">
        <f t="shared" si="3"/>
        <v>1440.4449999999997</v>
      </c>
      <c r="AB16" s="6">
        <f t="shared" si="4"/>
        <v>0.35075102057712365</v>
      </c>
      <c r="AC16" t="str">
        <f t="shared" si="5"/>
        <v>December</v>
      </c>
      <c r="AD16">
        <f t="shared" si="6"/>
        <v>2024</v>
      </c>
      <c r="AE16" t="str">
        <f t="shared" si="7"/>
        <v>Invalid</v>
      </c>
    </row>
    <row r="17" spans="1:31">
      <c r="A17" t="s">
        <v>120</v>
      </c>
      <c r="B17" s="3">
        <v>45542</v>
      </c>
      <c r="C17" s="3">
        <v>45482</v>
      </c>
      <c r="D17" t="s">
        <v>121</v>
      </c>
      <c r="E17" t="s">
        <v>23</v>
      </c>
      <c r="F17" t="s">
        <v>37</v>
      </c>
      <c r="G17" t="s">
        <v>25</v>
      </c>
      <c r="H17" t="s">
        <v>122</v>
      </c>
      <c r="I17" t="s">
        <v>123</v>
      </c>
      <c r="J17" t="s">
        <v>28</v>
      </c>
      <c r="K17" t="s">
        <v>124</v>
      </c>
      <c r="L17" t="s">
        <v>125</v>
      </c>
      <c r="M17" t="s">
        <v>31</v>
      </c>
      <c r="N17">
        <v>6</v>
      </c>
      <c r="O17">
        <v>3965.76</v>
      </c>
      <c r="P17">
        <v>0</v>
      </c>
      <c r="Q17">
        <v>23794.560000000001</v>
      </c>
      <c r="R17">
        <v>15698.47</v>
      </c>
      <c r="S17">
        <v>8096.09</v>
      </c>
      <c r="T17" t="s">
        <v>32</v>
      </c>
      <c r="U17" t="s">
        <v>33</v>
      </c>
      <c r="V17">
        <f>IF(OR(B17="Invalid Date",C17="Invalid Date"),"Invalid Date",C17-B17)</f>
        <v>-60</v>
      </c>
      <c r="W17" s="4" t="str">
        <f>IF(OR(B17="Invalid Date",C17="Invalid Date"),"Invalid Date",IF(C17&lt;B17,"Invalid Shipping","OK"))</f>
        <v>Invalid Shipping</v>
      </c>
      <c r="X17">
        <f t="shared" si="0"/>
        <v>1</v>
      </c>
      <c r="Y17">
        <f t="shared" si="1"/>
        <v>0</v>
      </c>
      <c r="Z17">
        <f t="shared" si="2"/>
        <v>23794.560000000001</v>
      </c>
      <c r="AA17">
        <f t="shared" si="3"/>
        <v>8096.090000000002</v>
      </c>
      <c r="AB17" s="6">
        <f t="shared" si="4"/>
        <v>0.34024962008122872</v>
      </c>
      <c r="AC17" t="str">
        <f t="shared" si="5"/>
        <v>September</v>
      </c>
      <c r="AD17">
        <f t="shared" si="6"/>
        <v>2024</v>
      </c>
      <c r="AE17" t="str">
        <f t="shared" si="7"/>
        <v>Invalid</v>
      </c>
    </row>
    <row r="18" spans="1:31">
      <c r="A18" t="s">
        <v>126</v>
      </c>
      <c r="B18" s="3">
        <v>45509</v>
      </c>
      <c r="C18" s="3">
        <v>45427</v>
      </c>
      <c r="D18" t="s">
        <v>127</v>
      </c>
      <c r="E18" t="s">
        <v>128</v>
      </c>
      <c r="F18" t="s">
        <v>24</v>
      </c>
      <c r="G18" t="s">
        <v>54</v>
      </c>
      <c r="H18" t="s">
        <v>55</v>
      </c>
      <c r="I18" t="s">
        <v>56</v>
      </c>
      <c r="J18" t="s">
        <v>28</v>
      </c>
      <c r="K18" t="s">
        <v>48</v>
      </c>
      <c r="L18" t="s">
        <v>129</v>
      </c>
      <c r="M18" t="s">
        <v>50</v>
      </c>
      <c r="N18">
        <v>4</v>
      </c>
      <c r="O18">
        <v>3323.51</v>
      </c>
      <c r="P18">
        <v>0.25</v>
      </c>
      <c r="Q18">
        <v>9970.5300000000007</v>
      </c>
      <c r="R18">
        <v>5668.17</v>
      </c>
      <c r="S18">
        <v>4302.3599999999997</v>
      </c>
      <c r="T18" t="s">
        <v>32</v>
      </c>
      <c r="U18" t="s">
        <v>33</v>
      </c>
      <c r="V18">
        <f>IF(OR(B18="Invalid Date",C18="Invalid Date"),"Invalid Date",C18-B18)</f>
        <v>-82</v>
      </c>
      <c r="W18" s="4" t="str">
        <f>IF(OR(B18="Invalid Date",C18="Invalid Date"),"Invalid Date",IF(C18&lt;B18,"Invalid Shipping","OK"))</f>
        <v>Invalid Shipping</v>
      </c>
      <c r="X18">
        <f t="shared" si="0"/>
        <v>1</v>
      </c>
      <c r="Y18">
        <f t="shared" si="1"/>
        <v>0.25</v>
      </c>
      <c r="Z18">
        <f t="shared" si="2"/>
        <v>9970.5300000000007</v>
      </c>
      <c r="AA18">
        <f t="shared" si="3"/>
        <v>4302.3600000000006</v>
      </c>
      <c r="AB18" s="6">
        <f t="shared" si="4"/>
        <v>0.43150765305354882</v>
      </c>
      <c r="AC18" t="str">
        <f t="shared" si="5"/>
        <v>August</v>
      </c>
      <c r="AD18">
        <f t="shared" si="6"/>
        <v>2024</v>
      </c>
      <c r="AE18" t="str">
        <f t="shared" si="7"/>
        <v>Invalid</v>
      </c>
    </row>
    <row r="19" spans="1:31">
      <c r="A19" t="s">
        <v>130</v>
      </c>
      <c r="B19" s="3">
        <v>45474</v>
      </c>
      <c r="C19" s="3">
        <v>45299</v>
      </c>
      <c r="D19" t="s">
        <v>131</v>
      </c>
      <c r="E19" t="s">
        <v>132</v>
      </c>
      <c r="F19" t="s">
        <v>37</v>
      </c>
      <c r="G19" t="s">
        <v>25</v>
      </c>
      <c r="H19" t="s">
        <v>26</v>
      </c>
      <c r="I19" t="s">
        <v>27</v>
      </c>
      <c r="J19" t="s">
        <v>41</v>
      </c>
      <c r="K19" t="s">
        <v>57</v>
      </c>
      <c r="L19" t="s">
        <v>133</v>
      </c>
      <c r="M19" t="s">
        <v>44</v>
      </c>
      <c r="N19">
        <v>5</v>
      </c>
      <c r="O19">
        <v>1526.78</v>
      </c>
      <c r="P19">
        <v>0</v>
      </c>
      <c r="Q19">
        <v>7633.9</v>
      </c>
      <c r="R19">
        <v>4706.91</v>
      </c>
      <c r="S19">
        <v>2926.99</v>
      </c>
      <c r="T19" t="s">
        <v>32</v>
      </c>
      <c r="U19" t="s">
        <v>33</v>
      </c>
      <c r="V19">
        <f>IF(OR(B19="Invalid Date",C19="Invalid Date"),"Invalid Date",C19-B19)</f>
        <v>-175</v>
      </c>
      <c r="W19" s="4" t="str">
        <f>IF(OR(B19="Invalid Date",C19="Invalid Date"),"Invalid Date",IF(C19&lt;B19,"Invalid Shipping","OK"))</f>
        <v>Invalid Shipping</v>
      </c>
      <c r="X19">
        <f t="shared" si="0"/>
        <v>1</v>
      </c>
      <c r="Y19">
        <f t="shared" si="1"/>
        <v>0</v>
      </c>
      <c r="Z19">
        <f t="shared" si="2"/>
        <v>7633.9</v>
      </c>
      <c r="AA19">
        <f t="shared" si="3"/>
        <v>2926.99</v>
      </c>
      <c r="AB19" s="6">
        <f t="shared" si="4"/>
        <v>0.38342000812166782</v>
      </c>
      <c r="AC19" t="str">
        <f t="shared" si="5"/>
        <v>July</v>
      </c>
      <c r="AD19">
        <f t="shared" si="6"/>
        <v>2024</v>
      </c>
      <c r="AE19" t="str">
        <f t="shared" si="7"/>
        <v>Invalid</v>
      </c>
    </row>
    <row r="20" spans="1:31">
      <c r="A20" t="s">
        <v>134</v>
      </c>
      <c r="B20" s="3" t="s">
        <v>2763</v>
      </c>
      <c r="C20" s="3">
        <v>45855</v>
      </c>
      <c r="D20" t="s">
        <v>135</v>
      </c>
      <c r="E20" t="s">
        <v>128</v>
      </c>
      <c r="F20" t="s">
        <v>95</v>
      </c>
      <c r="G20" t="s">
        <v>25</v>
      </c>
      <c r="H20" t="s">
        <v>136</v>
      </c>
      <c r="I20" t="s">
        <v>137</v>
      </c>
      <c r="J20" t="s">
        <v>74</v>
      </c>
      <c r="K20" t="s">
        <v>80</v>
      </c>
      <c r="L20" t="s">
        <v>138</v>
      </c>
      <c r="M20" t="s">
        <v>50</v>
      </c>
      <c r="N20">
        <v>2</v>
      </c>
      <c r="O20">
        <v>1997.99</v>
      </c>
      <c r="P20">
        <v>0</v>
      </c>
      <c r="Q20">
        <v>3995.98</v>
      </c>
      <c r="R20">
        <v>2633.2</v>
      </c>
      <c r="S20">
        <v>1362.78</v>
      </c>
      <c r="T20" t="s">
        <v>102</v>
      </c>
      <c r="U20" t="s">
        <v>68</v>
      </c>
      <c r="V20" t="str">
        <f>IF(OR(B20="Invalid Date",C20="Invalid Date"),"Invalid Date",C20-B20)</f>
        <v>Invalid Date</v>
      </c>
      <c r="W20" s="4" t="str">
        <f>IF(OR(B20="Invalid Date",C20="Invalid Date"),"Invalid Date",IF(C20&lt;B20,"Invalid Shipping","OK"))</f>
        <v>Invalid Date</v>
      </c>
      <c r="X20">
        <f t="shared" si="0"/>
        <v>1</v>
      </c>
      <c r="Y20">
        <f t="shared" si="1"/>
        <v>0</v>
      </c>
      <c r="Z20">
        <f t="shared" si="2"/>
        <v>3995.98</v>
      </c>
      <c r="AA20">
        <f t="shared" si="3"/>
        <v>1362.7800000000002</v>
      </c>
      <c r="AB20" s="6">
        <f t="shared" si="4"/>
        <v>0.34103774293164635</v>
      </c>
      <c r="AC20" t="str">
        <f t="shared" si="5"/>
        <v/>
      </c>
      <c r="AD20" t="str">
        <f t="shared" si="6"/>
        <v/>
      </c>
      <c r="AE20" t="str">
        <f t="shared" si="7"/>
        <v>Invalid</v>
      </c>
    </row>
    <row r="21" spans="1:31">
      <c r="A21" t="s">
        <v>139</v>
      </c>
      <c r="B21" s="3" t="s">
        <v>2763</v>
      </c>
      <c r="C21" s="3">
        <v>45504</v>
      </c>
      <c r="D21" t="s">
        <v>140</v>
      </c>
      <c r="E21" t="s">
        <v>141</v>
      </c>
      <c r="F21" t="s">
        <v>95</v>
      </c>
      <c r="G21" t="s">
        <v>63</v>
      </c>
      <c r="H21" t="s">
        <v>72</v>
      </c>
      <c r="I21" t="s">
        <v>73</v>
      </c>
      <c r="J21" t="s">
        <v>28</v>
      </c>
      <c r="K21" t="s">
        <v>124</v>
      </c>
      <c r="L21" t="s">
        <v>142</v>
      </c>
      <c r="M21" t="s">
        <v>31</v>
      </c>
      <c r="N21">
        <v>3</v>
      </c>
      <c r="O21">
        <v>3887.94</v>
      </c>
      <c r="P21">
        <v>-0.19</v>
      </c>
      <c r="Q21">
        <v>9331.06</v>
      </c>
      <c r="R21">
        <v>7529.31</v>
      </c>
      <c r="S21">
        <v>1801.75</v>
      </c>
      <c r="T21" t="s">
        <v>32</v>
      </c>
      <c r="U21" t="s">
        <v>33</v>
      </c>
      <c r="V21" t="str">
        <f>IF(OR(B21="Invalid Date",C21="Invalid Date"),"Invalid Date",C21-B21)</f>
        <v>Invalid Date</v>
      </c>
      <c r="W21" s="4" t="str">
        <f>IF(OR(B21="Invalid Date",C21="Invalid Date"),"Invalid Date",IF(C21&lt;B21,"Invalid Shipping","OK"))</f>
        <v>Invalid Date</v>
      </c>
      <c r="X21">
        <f t="shared" si="0"/>
        <v>1</v>
      </c>
      <c r="Y21" t="str">
        <f t="shared" si="1"/>
        <v>Invalid</v>
      </c>
      <c r="Z21" t="str">
        <f t="shared" si="2"/>
        <v/>
      </c>
      <c r="AA21" t="str">
        <f t="shared" si="3"/>
        <v/>
      </c>
      <c r="AB21" s="6" t="str">
        <f t="shared" si="4"/>
        <v/>
      </c>
      <c r="AC21" t="str">
        <f t="shared" si="5"/>
        <v/>
      </c>
      <c r="AD21" t="str">
        <f t="shared" si="6"/>
        <v/>
      </c>
      <c r="AE21" t="str">
        <f t="shared" si="7"/>
        <v>Invalid</v>
      </c>
    </row>
    <row r="22" spans="1:31">
      <c r="A22" t="s">
        <v>143</v>
      </c>
      <c r="B22" s="3">
        <v>45678</v>
      </c>
      <c r="C22" s="3">
        <v>45680</v>
      </c>
      <c r="D22" t="s">
        <v>144</v>
      </c>
      <c r="E22" t="s">
        <v>89</v>
      </c>
      <c r="F22" t="s">
        <v>95</v>
      </c>
      <c r="G22" t="s">
        <v>38</v>
      </c>
      <c r="H22" t="s">
        <v>145</v>
      </c>
      <c r="I22" t="s">
        <v>146</v>
      </c>
      <c r="J22" t="s">
        <v>74</v>
      </c>
      <c r="K22" t="s">
        <v>80</v>
      </c>
      <c r="L22" t="s">
        <v>147</v>
      </c>
      <c r="M22" t="s">
        <v>50</v>
      </c>
      <c r="N22">
        <v>5</v>
      </c>
      <c r="O22">
        <v>4373.0600000000004</v>
      </c>
      <c r="P22">
        <v>0.25</v>
      </c>
      <c r="Q22">
        <v>16398.98</v>
      </c>
      <c r="R22">
        <v>9556.52</v>
      </c>
      <c r="S22">
        <v>6842.46</v>
      </c>
      <c r="T22" t="s">
        <v>32</v>
      </c>
      <c r="U22" t="s">
        <v>33</v>
      </c>
      <c r="V22">
        <f>IF(OR(B22="Invalid Date",C22="Invalid Date"),"Invalid Date",C22-B22)</f>
        <v>2</v>
      </c>
      <c r="W22" s="4" t="str">
        <f>IF(OR(B22="Invalid Date",C22="Invalid Date"),"Invalid Date",IF(C22&lt;B22,"Invalid Shipping","OK"))</f>
        <v>OK</v>
      </c>
      <c r="X22">
        <f t="shared" si="0"/>
        <v>1</v>
      </c>
      <c r="Y22">
        <f t="shared" si="1"/>
        <v>0.25</v>
      </c>
      <c r="Z22">
        <f t="shared" si="2"/>
        <v>16398.975000000002</v>
      </c>
      <c r="AA22">
        <f t="shared" si="3"/>
        <v>6842.4550000000017</v>
      </c>
      <c r="AB22" s="6">
        <f t="shared" si="4"/>
        <v>0.4172489439126531</v>
      </c>
      <c r="AC22" t="str">
        <f t="shared" si="5"/>
        <v>January</v>
      </c>
      <c r="AD22">
        <f t="shared" si="6"/>
        <v>2025</v>
      </c>
      <c r="AE22" t="str">
        <f t="shared" si="7"/>
        <v>Clean</v>
      </c>
    </row>
    <row r="23" spans="1:31">
      <c r="A23" t="s">
        <v>148</v>
      </c>
      <c r="B23" s="3">
        <v>45681</v>
      </c>
      <c r="C23" s="3" t="s">
        <v>2763</v>
      </c>
      <c r="D23" t="s">
        <v>149</v>
      </c>
      <c r="E23" t="s">
        <v>132</v>
      </c>
      <c r="F23" t="s">
        <v>24</v>
      </c>
      <c r="G23" t="s">
        <v>63</v>
      </c>
      <c r="H23" t="s">
        <v>72</v>
      </c>
      <c r="I23" t="s">
        <v>73</v>
      </c>
      <c r="J23" t="s">
        <v>41</v>
      </c>
      <c r="K23" t="s">
        <v>57</v>
      </c>
      <c r="L23" t="s">
        <v>150</v>
      </c>
      <c r="M23" t="s">
        <v>31</v>
      </c>
      <c r="N23">
        <v>4</v>
      </c>
      <c r="O23">
        <v>697.69</v>
      </c>
      <c r="P23">
        <v>-0.23</v>
      </c>
      <c r="Q23">
        <v>2790.76</v>
      </c>
      <c r="R23">
        <v>2037.71</v>
      </c>
      <c r="S23">
        <v>753.05</v>
      </c>
      <c r="T23" t="s">
        <v>32</v>
      </c>
      <c r="U23" t="s">
        <v>33</v>
      </c>
      <c r="V23" t="str">
        <f>IF(OR(B23="Invalid Date",C23="Invalid Date"),"Invalid Date",C23-B23)</f>
        <v>Invalid Date</v>
      </c>
      <c r="W23" s="4" t="str">
        <f>IF(OR(B23="Invalid Date",C23="Invalid Date"),"Invalid Date",IF(C23&lt;B23,"Invalid Shipping","OK"))</f>
        <v>Invalid Date</v>
      </c>
      <c r="X23">
        <f t="shared" si="0"/>
        <v>1</v>
      </c>
      <c r="Y23" t="str">
        <f t="shared" si="1"/>
        <v>Invalid</v>
      </c>
      <c r="Z23" t="str">
        <f t="shared" si="2"/>
        <v/>
      </c>
      <c r="AA23" t="str">
        <f t="shared" si="3"/>
        <v/>
      </c>
      <c r="AB23" s="6" t="str">
        <f t="shared" si="4"/>
        <v/>
      </c>
      <c r="AC23" t="str">
        <f t="shared" si="5"/>
        <v>January</v>
      </c>
      <c r="AD23">
        <f t="shared" si="6"/>
        <v>2025</v>
      </c>
      <c r="AE23" t="str">
        <f t="shared" si="7"/>
        <v>Invalid</v>
      </c>
    </row>
    <row r="24" spans="1:31">
      <c r="A24" t="s">
        <v>151</v>
      </c>
      <c r="B24" s="3">
        <v>45676</v>
      </c>
      <c r="C24" s="3">
        <v>45678</v>
      </c>
      <c r="D24" t="s">
        <v>152</v>
      </c>
      <c r="E24" t="s">
        <v>36</v>
      </c>
      <c r="F24" t="s">
        <v>24</v>
      </c>
      <c r="G24" t="s">
        <v>54</v>
      </c>
      <c r="H24" t="s">
        <v>55</v>
      </c>
      <c r="I24" t="s">
        <v>56</v>
      </c>
      <c r="J24" t="s">
        <v>28</v>
      </c>
      <c r="K24" t="s">
        <v>153</v>
      </c>
      <c r="L24" t="s">
        <v>154</v>
      </c>
      <c r="M24" t="s">
        <v>59</v>
      </c>
      <c r="N24">
        <v>8</v>
      </c>
      <c r="O24">
        <v>1219.3399999999999</v>
      </c>
      <c r="P24">
        <v>0.15</v>
      </c>
      <c r="Q24">
        <v>8291.51</v>
      </c>
      <c r="R24">
        <v>6685.03</v>
      </c>
      <c r="S24">
        <v>1606.48</v>
      </c>
      <c r="T24" t="s">
        <v>155</v>
      </c>
      <c r="U24" t="s">
        <v>103</v>
      </c>
      <c r="V24">
        <f>IF(OR(B24="Invalid Date",C24="Invalid Date"),"Invalid Date",C24-B24)</f>
        <v>2</v>
      </c>
      <c r="W24" s="4" t="str">
        <f>IF(OR(B24="Invalid Date",C24="Invalid Date"),"Invalid Date",IF(C24&lt;B24,"Invalid Shipping","OK"))</f>
        <v>OK</v>
      </c>
      <c r="X24">
        <f t="shared" si="0"/>
        <v>1</v>
      </c>
      <c r="Y24">
        <f t="shared" si="1"/>
        <v>0.15</v>
      </c>
      <c r="Z24">
        <f t="shared" si="2"/>
        <v>8291.5119999999988</v>
      </c>
      <c r="AA24">
        <f t="shared" si="3"/>
        <v>1606.4819999999991</v>
      </c>
      <c r="AB24" s="6">
        <f t="shared" si="4"/>
        <v>0.19375018693816029</v>
      </c>
      <c r="AC24" t="str">
        <f t="shared" si="5"/>
        <v>January</v>
      </c>
      <c r="AD24">
        <f t="shared" si="6"/>
        <v>2025</v>
      </c>
      <c r="AE24" t="str">
        <f t="shared" si="7"/>
        <v>Clean</v>
      </c>
    </row>
    <row r="25" spans="1:31">
      <c r="A25" t="s">
        <v>156</v>
      </c>
      <c r="B25" s="3">
        <v>45898</v>
      </c>
      <c r="C25" s="3">
        <v>45900</v>
      </c>
      <c r="D25" t="s">
        <v>157</v>
      </c>
      <c r="E25" t="s">
        <v>118</v>
      </c>
      <c r="F25" t="s">
        <v>95</v>
      </c>
      <c r="G25" t="s">
        <v>38</v>
      </c>
      <c r="H25" t="s">
        <v>145</v>
      </c>
      <c r="I25" t="s">
        <v>146</v>
      </c>
      <c r="J25" t="s">
        <v>41</v>
      </c>
      <c r="K25" t="s">
        <v>158</v>
      </c>
      <c r="L25" t="s">
        <v>159</v>
      </c>
      <c r="M25" t="s">
        <v>50</v>
      </c>
      <c r="N25">
        <v>4</v>
      </c>
      <c r="O25">
        <v>1958.01</v>
      </c>
      <c r="P25">
        <v>0.2</v>
      </c>
      <c r="Q25">
        <v>6265.63</v>
      </c>
      <c r="R25">
        <v>4321.8599999999997</v>
      </c>
      <c r="S25">
        <v>1943.77</v>
      </c>
      <c r="T25" t="s">
        <v>32</v>
      </c>
      <c r="U25" t="s">
        <v>33</v>
      </c>
      <c r="V25">
        <f>IF(OR(B25="Invalid Date",C25="Invalid Date"),"Invalid Date",C25-B25)</f>
        <v>2</v>
      </c>
      <c r="W25" s="4" t="str">
        <f>IF(OR(B25="Invalid Date",C25="Invalid Date"),"Invalid Date",IF(C25&lt;B25,"Invalid Shipping","OK"))</f>
        <v>OK</v>
      </c>
      <c r="X25">
        <f t="shared" si="0"/>
        <v>1</v>
      </c>
      <c r="Y25">
        <f t="shared" si="1"/>
        <v>0.2</v>
      </c>
      <c r="Z25">
        <f t="shared" si="2"/>
        <v>6265.6320000000005</v>
      </c>
      <c r="AA25">
        <f t="shared" si="3"/>
        <v>1943.7720000000008</v>
      </c>
      <c r="AB25" s="6">
        <f t="shared" si="4"/>
        <v>0.31022760353624351</v>
      </c>
      <c r="AC25" t="str">
        <f t="shared" si="5"/>
        <v>August</v>
      </c>
      <c r="AD25">
        <f t="shared" si="6"/>
        <v>2025</v>
      </c>
      <c r="AE25" t="str">
        <f t="shared" si="7"/>
        <v>Clean</v>
      </c>
    </row>
    <row r="26" spans="1:31">
      <c r="A26" t="s">
        <v>160</v>
      </c>
      <c r="B26" s="3">
        <v>45355</v>
      </c>
      <c r="C26" s="3">
        <v>45294</v>
      </c>
      <c r="D26" t="s">
        <v>161</v>
      </c>
      <c r="E26" t="s">
        <v>162</v>
      </c>
      <c r="F26" t="s">
        <v>24</v>
      </c>
      <c r="G26" t="s">
        <v>25</v>
      </c>
      <c r="H26" t="s">
        <v>122</v>
      </c>
      <c r="I26" t="s">
        <v>123</v>
      </c>
      <c r="J26" t="s">
        <v>28</v>
      </c>
      <c r="K26" t="s">
        <v>48</v>
      </c>
      <c r="L26" t="s">
        <v>163</v>
      </c>
      <c r="M26" t="s">
        <v>59</v>
      </c>
      <c r="N26">
        <v>4</v>
      </c>
      <c r="O26">
        <v>4492.9399999999996</v>
      </c>
      <c r="P26">
        <v>0.25</v>
      </c>
      <c r="Q26">
        <v>13478.82</v>
      </c>
      <c r="R26">
        <v>10937.35</v>
      </c>
      <c r="S26">
        <v>2541.4699999999998</v>
      </c>
      <c r="T26" t="s">
        <v>111</v>
      </c>
      <c r="U26" t="s">
        <v>68</v>
      </c>
      <c r="V26">
        <f>IF(OR(B26="Invalid Date",C26="Invalid Date"),"Invalid Date",C26-B26)</f>
        <v>-61</v>
      </c>
      <c r="W26" s="4" t="str">
        <f>IF(OR(B26="Invalid Date",C26="Invalid Date"),"Invalid Date",IF(C26&lt;B26,"Invalid Shipping","OK"))</f>
        <v>Invalid Shipping</v>
      </c>
      <c r="X26">
        <f t="shared" si="0"/>
        <v>1</v>
      </c>
      <c r="Y26">
        <f t="shared" si="1"/>
        <v>0.25</v>
      </c>
      <c r="Z26">
        <f t="shared" si="2"/>
        <v>13478.82</v>
      </c>
      <c r="AA26">
        <f t="shared" si="3"/>
        <v>2541.4699999999993</v>
      </c>
      <c r="AB26" s="6">
        <f t="shared" si="4"/>
        <v>0.18855285551702591</v>
      </c>
      <c r="AC26" t="str">
        <f t="shared" si="5"/>
        <v>March</v>
      </c>
      <c r="AD26">
        <f t="shared" si="6"/>
        <v>2024</v>
      </c>
      <c r="AE26" t="str">
        <f t="shared" si="7"/>
        <v>Invalid</v>
      </c>
    </row>
    <row r="27" spans="1:31">
      <c r="A27" t="s">
        <v>164</v>
      </c>
      <c r="B27" s="3">
        <v>45576</v>
      </c>
      <c r="C27" s="3">
        <v>45584</v>
      </c>
      <c r="D27" t="s">
        <v>165</v>
      </c>
      <c r="E27" t="s">
        <v>53</v>
      </c>
      <c r="F27" t="s">
        <v>90</v>
      </c>
      <c r="G27" t="s">
        <v>38</v>
      </c>
      <c r="H27" t="s">
        <v>166</v>
      </c>
      <c r="I27" t="s">
        <v>167</v>
      </c>
      <c r="J27" t="s">
        <v>74</v>
      </c>
      <c r="K27" t="s">
        <v>75</v>
      </c>
      <c r="L27" t="s">
        <v>168</v>
      </c>
      <c r="M27" t="s">
        <v>50</v>
      </c>
      <c r="N27">
        <v>2</v>
      </c>
      <c r="O27">
        <v>4315.2</v>
      </c>
      <c r="P27">
        <v>0.15</v>
      </c>
      <c r="Q27">
        <v>7335.84</v>
      </c>
      <c r="R27">
        <v>4968.41</v>
      </c>
      <c r="S27">
        <v>2367.4299999999998</v>
      </c>
      <c r="T27" t="s">
        <v>32</v>
      </c>
      <c r="U27" t="s">
        <v>33</v>
      </c>
      <c r="V27">
        <f>IF(OR(B27="Invalid Date",C27="Invalid Date"),"Invalid Date",C27-B27)</f>
        <v>8</v>
      </c>
      <c r="W27" s="4" t="str">
        <f>IF(OR(B27="Invalid Date",C27="Invalid Date"),"Invalid Date",IF(C27&lt;B27,"Invalid Shipping","OK"))</f>
        <v>OK</v>
      </c>
      <c r="X27">
        <f t="shared" si="0"/>
        <v>1</v>
      </c>
      <c r="Y27">
        <f t="shared" si="1"/>
        <v>0.15</v>
      </c>
      <c r="Z27">
        <f t="shared" si="2"/>
        <v>7335.8399999999992</v>
      </c>
      <c r="AA27">
        <f t="shared" si="3"/>
        <v>2367.4299999999994</v>
      </c>
      <c r="AB27" s="6">
        <f t="shared" si="4"/>
        <v>0.32272105171323251</v>
      </c>
      <c r="AC27" t="str">
        <f t="shared" si="5"/>
        <v>October</v>
      </c>
      <c r="AD27">
        <f t="shared" si="6"/>
        <v>2024</v>
      </c>
      <c r="AE27" t="str">
        <f t="shared" si="7"/>
        <v>Clean</v>
      </c>
    </row>
    <row r="28" spans="1:31">
      <c r="A28" t="s">
        <v>169</v>
      </c>
      <c r="B28" s="3">
        <v>45619</v>
      </c>
      <c r="C28" s="3">
        <v>45619</v>
      </c>
      <c r="D28" t="s">
        <v>170</v>
      </c>
      <c r="E28" t="s">
        <v>162</v>
      </c>
      <c r="F28" t="s">
        <v>90</v>
      </c>
      <c r="G28" t="s">
        <v>25</v>
      </c>
      <c r="H28" t="s">
        <v>136</v>
      </c>
      <c r="I28" t="s">
        <v>137</v>
      </c>
      <c r="J28" t="s">
        <v>74</v>
      </c>
      <c r="K28" t="s">
        <v>171</v>
      </c>
      <c r="L28" t="s">
        <v>172</v>
      </c>
      <c r="M28" t="s">
        <v>59</v>
      </c>
      <c r="N28">
        <v>4</v>
      </c>
      <c r="O28">
        <v>716.13</v>
      </c>
      <c r="P28">
        <v>0.1</v>
      </c>
      <c r="Q28">
        <v>2578.0700000000002</v>
      </c>
      <c r="R28">
        <v>1527.55</v>
      </c>
      <c r="S28">
        <v>1050.52</v>
      </c>
      <c r="T28" t="s">
        <v>32</v>
      </c>
      <c r="U28" t="s">
        <v>103</v>
      </c>
      <c r="V28">
        <f>IF(OR(B28="Invalid Date",C28="Invalid Date"),"Invalid Date",C28-B28)</f>
        <v>0</v>
      </c>
      <c r="W28" s="4" t="str">
        <f>IF(OR(B28="Invalid Date",C28="Invalid Date"),"Invalid Date",IF(C28&lt;B28,"Invalid Shipping","OK"))</f>
        <v>OK</v>
      </c>
      <c r="X28">
        <f t="shared" si="0"/>
        <v>1</v>
      </c>
      <c r="Y28">
        <f t="shared" si="1"/>
        <v>0.1</v>
      </c>
      <c r="Z28">
        <f t="shared" si="2"/>
        <v>2578.0680000000002</v>
      </c>
      <c r="AA28">
        <f t="shared" si="3"/>
        <v>1050.5180000000003</v>
      </c>
      <c r="AB28" s="6">
        <f t="shared" si="4"/>
        <v>0.40748265755596835</v>
      </c>
      <c r="AC28" t="str">
        <f t="shared" si="5"/>
        <v>November</v>
      </c>
      <c r="AD28">
        <f t="shared" si="6"/>
        <v>2024</v>
      </c>
      <c r="AE28" t="str">
        <f t="shared" si="7"/>
        <v>Clean</v>
      </c>
    </row>
    <row r="29" spans="1:31">
      <c r="A29" t="s">
        <v>173</v>
      </c>
      <c r="B29" s="3">
        <v>45929</v>
      </c>
      <c r="C29" s="3">
        <v>45935</v>
      </c>
      <c r="D29" t="s">
        <v>174</v>
      </c>
      <c r="E29" t="s">
        <v>53</v>
      </c>
      <c r="F29" t="s">
        <v>37</v>
      </c>
      <c r="G29" t="s">
        <v>54</v>
      </c>
      <c r="H29" t="s">
        <v>175</v>
      </c>
      <c r="I29" t="s">
        <v>176</v>
      </c>
      <c r="J29" t="s">
        <v>28</v>
      </c>
      <c r="K29" t="s">
        <v>29</v>
      </c>
      <c r="L29" t="s">
        <v>177</v>
      </c>
      <c r="M29" t="s">
        <v>31</v>
      </c>
      <c r="N29">
        <v>5</v>
      </c>
      <c r="O29">
        <v>1806.51</v>
      </c>
      <c r="P29">
        <v>0.25</v>
      </c>
      <c r="Q29">
        <v>6774.41</v>
      </c>
      <c r="R29">
        <v>4710.3599999999997</v>
      </c>
      <c r="S29">
        <v>2064.0500000000002</v>
      </c>
      <c r="T29" t="s">
        <v>155</v>
      </c>
      <c r="U29" t="s">
        <v>103</v>
      </c>
      <c r="V29">
        <f>IF(OR(B29="Invalid Date",C29="Invalid Date"),"Invalid Date",C29-B29)</f>
        <v>6</v>
      </c>
      <c r="W29" s="4" t="str">
        <f>IF(OR(B29="Invalid Date",C29="Invalid Date"),"Invalid Date",IF(C29&lt;B29,"Invalid Shipping","OK"))</f>
        <v>OK</v>
      </c>
      <c r="X29">
        <f t="shared" si="0"/>
        <v>1</v>
      </c>
      <c r="Y29">
        <f t="shared" si="1"/>
        <v>0.25</v>
      </c>
      <c r="Z29">
        <f t="shared" si="2"/>
        <v>6774.4124999999995</v>
      </c>
      <c r="AA29">
        <f t="shared" si="3"/>
        <v>2064.0524999999998</v>
      </c>
      <c r="AB29" s="6">
        <f t="shared" si="4"/>
        <v>0.30468361647596748</v>
      </c>
      <c r="AC29" t="str">
        <f t="shared" si="5"/>
        <v>September</v>
      </c>
      <c r="AD29">
        <f t="shared" si="6"/>
        <v>2025</v>
      </c>
      <c r="AE29" t="str">
        <f t="shared" si="7"/>
        <v>Clean</v>
      </c>
    </row>
    <row r="30" spans="1:31">
      <c r="A30" t="s">
        <v>178</v>
      </c>
      <c r="B30" s="3">
        <v>45576</v>
      </c>
      <c r="C30" s="3">
        <v>45583</v>
      </c>
      <c r="D30" t="s">
        <v>179</v>
      </c>
      <c r="E30" t="s">
        <v>62</v>
      </c>
      <c r="F30" t="s">
        <v>95</v>
      </c>
      <c r="G30" t="s">
        <v>63</v>
      </c>
      <c r="H30" t="s">
        <v>180</v>
      </c>
      <c r="I30" t="s">
        <v>181</v>
      </c>
      <c r="J30" t="s">
        <v>74</v>
      </c>
      <c r="K30" t="s">
        <v>171</v>
      </c>
      <c r="L30" t="s">
        <v>182</v>
      </c>
      <c r="M30" t="s">
        <v>31</v>
      </c>
      <c r="N30">
        <v>2</v>
      </c>
      <c r="O30">
        <v>1942.22</v>
      </c>
      <c r="P30">
        <v>0.25</v>
      </c>
      <c r="Q30">
        <v>2913.33</v>
      </c>
      <c r="R30">
        <v>2122.33</v>
      </c>
      <c r="S30">
        <v>791</v>
      </c>
      <c r="T30" t="s">
        <v>102</v>
      </c>
      <c r="U30" t="s">
        <v>68</v>
      </c>
      <c r="V30">
        <f>IF(OR(B30="Invalid Date",C30="Invalid Date"),"Invalid Date",C30-B30)</f>
        <v>7</v>
      </c>
      <c r="W30" s="4" t="str">
        <f>IF(OR(B30="Invalid Date",C30="Invalid Date"),"Invalid Date",IF(C30&lt;B30,"Invalid Shipping","OK"))</f>
        <v>OK</v>
      </c>
      <c r="X30">
        <f t="shared" si="0"/>
        <v>1</v>
      </c>
      <c r="Y30">
        <f t="shared" si="1"/>
        <v>0.25</v>
      </c>
      <c r="Z30">
        <f t="shared" si="2"/>
        <v>2913.33</v>
      </c>
      <c r="AA30">
        <f t="shared" si="3"/>
        <v>791</v>
      </c>
      <c r="AB30" s="6">
        <f t="shared" si="4"/>
        <v>0.27151060813570727</v>
      </c>
      <c r="AC30" t="str">
        <f t="shared" si="5"/>
        <v>October</v>
      </c>
      <c r="AD30">
        <f t="shared" si="6"/>
        <v>2024</v>
      </c>
      <c r="AE30" t="str">
        <f t="shared" si="7"/>
        <v>Clean</v>
      </c>
    </row>
    <row r="31" spans="1:31">
      <c r="A31" t="s">
        <v>183</v>
      </c>
      <c r="B31" s="3">
        <v>45882</v>
      </c>
      <c r="C31" s="3">
        <v>45882</v>
      </c>
      <c r="D31" t="s">
        <v>184</v>
      </c>
      <c r="E31" t="s">
        <v>141</v>
      </c>
      <c r="F31" t="s">
        <v>95</v>
      </c>
      <c r="G31" t="s">
        <v>54</v>
      </c>
      <c r="H31" t="s">
        <v>185</v>
      </c>
      <c r="I31" t="s">
        <v>186</v>
      </c>
      <c r="J31" t="s">
        <v>74</v>
      </c>
      <c r="K31" t="s">
        <v>171</v>
      </c>
      <c r="L31" t="s">
        <v>187</v>
      </c>
      <c r="M31" t="s">
        <v>59</v>
      </c>
      <c r="N31">
        <v>1</v>
      </c>
      <c r="O31">
        <v>256.01</v>
      </c>
      <c r="P31">
        <v>0.15</v>
      </c>
      <c r="Q31">
        <v>217.61</v>
      </c>
      <c r="R31">
        <v>119.77</v>
      </c>
      <c r="S31">
        <v>97.84</v>
      </c>
      <c r="T31" t="s">
        <v>32</v>
      </c>
      <c r="U31" t="s">
        <v>33</v>
      </c>
      <c r="V31">
        <f>IF(OR(B31="Invalid Date",C31="Invalid Date"),"Invalid Date",C31-B31)</f>
        <v>0</v>
      </c>
      <c r="W31" s="4" t="str">
        <f>IF(OR(B31="Invalid Date",C31="Invalid Date"),"Invalid Date",IF(C31&lt;B31,"Invalid Shipping","OK"))</f>
        <v>OK</v>
      </c>
      <c r="X31">
        <f t="shared" si="0"/>
        <v>1</v>
      </c>
      <c r="Y31">
        <f t="shared" si="1"/>
        <v>0.15</v>
      </c>
      <c r="Z31">
        <f t="shared" si="2"/>
        <v>217.60849999999999</v>
      </c>
      <c r="AA31">
        <f t="shared" si="3"/>
        <v>97.838499999999996</v>
      </c>
      <c r="AB31" s="6">
        <f t="shared" si="4"/>
        <v>0.44960789675035673</v>
      </c>
      <c r="AC31" t="str">
        <f t="shared" si="5"/>
        <v>August</v>
      </c>
      <c r="AD31">
        <f t="shared" si="6"/>
        <v>2025</v>
      </c>
      <c r="AE31" t="str">
        <f t="shared" si="7"/>
        <v>Clean</v>
      </c>
    </row>
    <row r="32" spans="1:31">
      <c r="A32" t="s">
        <v>188</v>
      </c>
      <c r="B32" s="3">
        <v>45331</v>
      </c>
      <c r="C32" s="3">
        <v>45628</v>
      </c>
      <c r="D32" t="s">
        <v>189</v>
      </c>
      <c r="E32" t="s">
        <v>62</v>
      </c>
      <c r="F32" t="s">
        <v>90</v>
      </c>
      <c r="G32" t="s">
        <v>63</v>
      </c>
      <c r="H32" t="s">
        <v>190</v>
      </c>
      <c r="I32" t="s">
        <v>191</v>
      </c>
      <c r="J32" t="s">
        <v>28</v>
      </c>
      <c r="K32" t="s">
        <v>91</v>
      </c>
      <c r="L32" t="s">
        <v>192</v>
      </c>
      <c r="M32" t="s">
        <v>50</v>
      </c>
      <c r="N32">
        <v>1</v>
      </c>
      <c r="O32">
        <v>3421.77</v>
      </c>
      <c r="P32">
        <v>0.1</v>
      </c>
      <c r="Q32">
        <v>3079.59</v>
      </c>
      <c r="R32">
        <v>2001.89</v>
      </c>
      <c r="S32">
        <v>1077.7</v>
      </c>
      <c r="T32" t="s">
        <v>32</v>
      </c>
      <c r="U32" t="s">
        <v>33</v>
      </c>
      <c r="V32">
        <f>IF(OR(B32="Invalid Date",C32="Invalid Date"),"Invalid Date",C32-B32)</f>
        <v>297</v>
      </c>
      <c r="W32" s="4" t="str">
        <f>IF(OR(B32="Invalid Date",C32="Invalid Date"),"Invalid Date",IF(C32&lt;B32,"Invalid Shipping","OK"))</f>
        <v>OK</v>
      </c>
      <c r="X32">
        <f t="shared" si="0"/>
        <v>1</v>
      </c>
      <c r="Y32">
        <f t="shared" si="1"/>
        <v>0.1</v>
      </c>
      <c r="Z32">
        <f t="shared" si="2"/>
        <v>3079.5929999999998</v>
      </c>
      <c r="AA32">
        <f t="shared" si="3"/>
        <v>1077.7029999999997</v>
      </c>
      <c r="AB32" s="6">
        <f t="shared" si="4"/>
        <v>0.34994981479695525</v>
      </c>
      <c r="AC32" t="str">
        <f t="shared" si="5"/>
        <v>February</v>
      </c>
      <c r="AD32">
        <f t="shared" si="6"/>
        <v>2024</v>
      </c>
      <c r="AE32" t="str">
        <f t="shared" si="7"/>
        <v>Clean</v>
      </c>
    </row>
    <row r="33" spans="1:31">
      <c r="A33" t="s">
        <v>193</v>
      </c>
      <c r="B33" s="3">
        <v>45823</v>
      </c>
      <c r="C33" s="3">
        <v>45827</v>
      </c>
      <c r="D33" t="s">
        <v>194</v>
      </c>
      <c r="E33" t="s">
        <v>23</v>
      </c>
      <c r="F33" t="s">
        <v>37</v>
      </c>
      <c r="G33" t="s">
        <v>63</v>
      </c>
      <c r="H33" t="s">
        <v>72</v>
      </c>
      <c r="I33" t="s">
        <v>73</v>
      </c>
      <c r="J33" t="s">
        <v>28</v>
      </c>
      <c r="K33" t="s">
        <v>29</v>
      </c>
      <c r="L33" t="s">
        <v>195</v>
      </c>
      <c r="M33" t="s">
        <v>31</v>
      </c>
      <c r="N33">
        <v>9</v>
      </c>
      <c r="O33">
        <v>3092.55</v>
      </c>
      <c r="P33">
        <v>0</v>
      </c>
      <c r="Q33">
        <v>27832.95</v>
      </c>
      <c r="R33">
        <v>17769.75</v>
      </c>
      <c r="S33">
        <v>10063.200000000001</v>
      </c>
      <c r="T33" t="s">
        <v>155</v>
      </c>
      <c r="U33" t="s">
        <v>103</v>
      </c>
      <c r="V33">
        <f>IF(OR(B33="Invalid Date",C33="Invalid Date"),"Invalid Date",C33-B33)</f>
        <v>4</v>
      </c>
      <c r="W33" s="4" t="str">
        <f>IF(OR(B33="Invalid Date",C33="Invalid Date"),"Invalid Date",IF(C33&lt;B33,"Invalid Shipping","OK"))</f>
        <v>OK</v>
      </c>
      <c r="X33">
        <f t="shared" si="0"/>
        <v>1</v>
      </c>
      <c r="Y33">
        <f t="shared" si="1"/>
        <v>0</v>
      </c>
      <c r="Z33">
        <f t="shared" si="2"/>
        <v>27832.95</v>
      </c>
      <c r="AA33">
        <f t="shared" si="3"/>
        <v>10063.200000000001</v>
      </c>
      <c r="AB33" s="6">
        <f t="shared" si="4"/>
        <v>0.36155707533696574</v>
      </c>
      <c r="AC33" t="str">
        <f t="shared" si="5"/>
        <v>June</v>
      </c>
      <c r="AD33">
        <f t="shared" si="6"/>
        <v>2025</v>
      </c>
      <c r="AE33" t="str">
        <f t="shared" si="7"/>
        <v>Clean</v>
      </c>
    </row>
    <row r="34" spans="1:31">
      <c r="A34" t="s">
        <v>196</v>
      </c>
      <c r="B34" s="3">
        <v>45618</v>
      </c>
      <c r="C34" s="3">
        <v>45622</v>
      </c>
      <c r="D34" t="s">
        <v>197</v>
      </c>
      <c r="E34" t="s">
        <v>128</v>
      </c>
      <c r="F34" t="s">
        <v>90</v>
      </c>
      <c r="G34" t="s">
        <v>54</v>
      </c>
      <c r="H34" t="s">
        <v>84</v>
      </c>
      <c r="I34" t="s">
        <v>85</v>
      </c>
      <c r="J34" t="s">
        <v>74</v>
      </c>
      <c r="K34" t="s">
        <v>171</v>
      </c>
      <c r="L34" t="s">
        <v>198</v>
      </c>
      <c r="M34" t="s">
        <v>31</v>
      </c>
      <c r="N34">
        <v>3</v>
      </c>
      <c r="O34">
        <v>4001.25</v>
      </c>
      <c r="P34">
        <v>0</v>
      </c>
      <c r="Q34">
        <v>9002.81</v>
      </c>
      <c r="R34">
        <v>7529.92</v>
      </c>
      <c r="S34">
        <v>1472.89</v>
      </c>
      <c r="T34" t="s">
        <v>32</v>
      </c>
      <c r="U34" t="s">
        <v>33</v>
      </c>
      <c r="V34">
        <f>IF(OR(B34="Invalid Date",C34="Invalid Date"),"Invalid Date",C34-B34)</f>
        <v>4</v>
      </c>
      <c r="W34" s="4" t="str">
        <f>IF(OR(B34="Invalid Date",C34="Invalid Date"),"Invalid Date",IF(C34&lt;B34,"Invalid Shipping","OK"))</f>
        <v>OK</v>
      </c>
      <c r="X34">
        <f t="shared" si="0"/>
        <v>1</v>
      </c>
      <c r="Y34">
        <f t="shared" si="1"/>
        <v>0</v>
      </c>
      <c r="Z34">
        <f t="shared" si="2"/>
        <v>12003.75</v>
      </c>
      <c r="AA34">
        <f t="shared" si="3"/>
        <v>4473.83</v>
      </c>
      <c r="AB34" s="6">
        <f t="shared" si="4"/>
        <v>0.37270269707383108</v>
      </c>
      <c r="AC34" t="str">
        <f t="shared" si="5"/>
        <v>November</v>
      </c>
      <c r="AD34">
        <f t="shared" si="6"/>
        <v>2024</v>
      </c>
      <c r="AE34" t="str">
        <f t="shared" si="7"/>
        <v>Clean</v>
      </c>
    </row>
    <row r="35" spans="1:31">
      <c r="A35" t="s">
        <v>199</v>
      </c>
      <c r="B35" s="3" t="s">
        <v>2763</v>
      </c>
      <c r="C35" s="3">
        <v>45500</v>
      </c>
      <c r="D35" t="s">
        <v>200</v>
      </c>
      <c r="E35" t="s">
        <v>114</v>
      </c>
      <c r="F35" t="s">
        <v>95</v>
      </c>
      <c r="G35" t="s">
        <v>63</v>
      </c>
      <c r="H35" t="s">
        <v>190</v>
      </c>
      <c r="I35" t="s">
        <v>191</v>
      </c>
      <c r="J35" t="s">
        <v>41</v>
      </c>
      <c r="K35" t="s">
        <v>42</v>
      </c>
      <c r="L35" t="s">
        <v>201</v>
      </c>
      <c r="M35" t="s">
        <v>44</v>
      </c>
      <c r="N35">
        <v>7</v>
      </c>
      <c r="O35">
        <v>492.41</v>
      </c>
      <c r="P35">
        <v>0.25</v>
      </c>
      <c r="Q35">
        <v>2585.15</v>
      </c>
      <c r="R35">
        <v>2070.73</v>
      </c>
      <c r="S35">
        <v>514.41999999999996</v>
      </c>
      <c r="T35" t="s">
        <v>32</v>
      </c>
      <c r="U35" t="s">
        <v>33</v>
      </c>
      <c r="V35" t="str">
        <f>IF(OR(B35="Invalid Date",C35="Invalid Date"),"Invalid Date",C35-B35)</f>
        <v>Invalid Date</v>
      </c>
      <c r="W35" s="4" t="str">
        <f>IF(OR(B35="Invalid Date",C35="Invalid Date"),"Invalid Date",IF(C35&lt;B35,"Invalid Shipping","OK"))</f>
        <v>Invalid Date</v>
      </c>
      <c r="X35">
        <f t="shared" si="0"/>
        <v>1</v>
      </c>
      <c r="Y35">
        <f t="shared" si="1"/>
        <v>0.25</v>
      </c>
      <c r="Z35">
        <f t="shared" si="2"/>
        <v>2585.1525000000001</v>
      </c>
      <c r="AA35">
        <f t="shared" si="3"/>
        <v>514.42250000000013</v>
      </c>
      <c r="AB35" s="6">
        <f t="shared" si="4"/>
        <v>0.19899116203009304</v>
      </c>
      <c r="AC35" t="str">
        <f t="shared" si="5"/>
        <v/>
      </c>
      <c r="AD35" t="str">
        <f t="shared" si="6"/>
        <v/>
      </c>
      <c r="AE35" t="str">
        <f t="shared" si="7"/>
        <v>Invalid</v>
      </c>
    </row>
    <row r="36" spans="1:31">
      <c r="A36" t="s">
        <v>202</v>
      </c>
      <c r="B36" s="3">
        <v>45688</v>
      </c>
      <c r="C36" s="3">
        <v>45693</v>
      </c>
      <c r="D36" t="s">
        <v>203</v>
      </c>
      <c r="E36" t="s">
        <v>114</v>
      </c>
      <c r="F36" t="s">
        <v>95</v>
      </c>
      <c r="G36" t="s">
        <v>38</v>
      </c>
      <c r="H36" t="s">
        <v>99</v>
      </c>
      <c r="I36" t="s">
        <v>100</v>
      </c>
      <c r="J36" t="s">
        <v>41</v>
      </c>
      <c r="K36" t="s">
        <v>66</v>
      </c>
      <c r="L36" t="s">
        <v>204</v>
      </c>
      <c r="M36" t="s">
        <v>2767</v>
      </c>
      <c r="N36">
        <v>2</v>
      </c>
      <c r="O36">
        <v>4159.6899999999996</v>
      </c>
      <c r="P36">
        <v>0.2</v>
      </c>
      <c r="Q36">
        <v>6655.5</v>
      </c>
      <c r="R36">
        <v>4340.21</v>
      </c>
      <c r="S36">
        <v>2607.3200000000002</v>
      </c>
      <c r="T36" t="s">
        <v>32</v>
      </c>
      <c r="U36" t="s">
        <v>33</v>
      </c>
      <c r="V36">
        <f>IF(OR(B36="Invalid Date",C36="Invalid Date"),"Invalid Date",C36-B36)</f>
        <v>5</v>
      </c>
      <c r="W36" s="4" t="str">
        <f>IF(OR(B36="Invalid Date",C36="Invalid Date"),"Invalid Date",IF(C36&lt;B36,"Invalid Shipping","OK"))</f>
        <v>OK</v>
      </c>
      <c r="X36">
        <f t="shared" si="0"/>
        <v>1</v>
      </c>
      <c r="Y36">
        <f t="shared" si="1"/>
        <v>0.2</v>
      </c>
      <c r="Z36">
        <f t="shared" si="2"/>
        <v>6655.5039999999999</v>
      </c>
      <c r="AA36">
        <f t="shared" si="3"/>
        <v>2315.2939999999999</v>
      </c>
      <c r="AB36" s="6">
        <f t="shared" si="4"/>
        <v>0.34787658455317583</v>
      </c>
      <c r="AC36" t="str">
        <f t="shared" si="5"/>
        <v>January</v>
      </c>
      <c r="AD36">
        <f t="shared" si="6"/>
        <v>2025</v>
      </c>
      <c r="AE36" t="str">
        <f t="shared" si="7"/>
        <v>Warning</v>
      </c>
    </row>
    <row r="37" spans="1:31">
      <c r="A37" t="s">
        <v>205</v>
      </c>
      <c r="B37" s="3">
        <v>45441</v>
      </c>
      <c r="C37" s="3">
        <v>45441</v>
      </c>
      <c r="D37" t="s">
        <v>206</v>
      </c>
      <c r="E37" t="s">
        <v>132</v>
      </c>
      <c r="F37" t="s">
        <v>37</v>
      </c>
      <c r="G37" t="s">
        <v>63</v>
      </c>
      <c r="H37" t="s">
        <v>180</v>
      </c>
      <c r="I37" t="s">
        <v>181</v>
      </c>
      <c r="J37" t="s">
        <v>41</v>
      </c>
      <c r="K37" t="s">
        <v>158</v>
      </c>
      <c r="L37" t="s">
        <v>207</v>
      </c>
      <c r="M37" t="s">
        <v>31</v>
      </c>
      <c r="N37">
        <v>8</v>
      </c>
      <c r="O37">
        <v>2507.12</v>
      </c>
      <c r="P37">
        <v>0.05</v>
      </c>
      <c r="Q37">
        <v>19054.11</v>
      </c>
      <c r="R37">
        <v>15313.83</v>
      </c>
      <c r="S37">
        <v>3740.28</v>
      </c>
      <c r="T37" t="s">
        <v>111</v>
      </c>
      <c r="U37" t="s">
        <v>103</v>
      </c>
      <c r="V37">
        <f>IF(OR(B37="Invalid Date",C37="Invalid Date"),"Invalid Date",C37-B37)</f>
        <v>0</v>
      </c>
      <c r="W37" s="4" t="str">
        <f>IF(OR(B37="Invalid Date",C37="Invalid Date"),"Invalid Date",IF(C37&lt;B37,"Invalid Shipping","OK"))</f>
        <v>OK</v>
      </c>
      <c r="X37">
        <f t="shared" si="0"/>
        <v>1</v>
      </c>
      <c r="Y37">
        <f t="shared" si="1"/>
        <v>0.05</v>
      </c>
      <c r="Z37">
        <f t="shared" si="2"/>
        <v>19054.111999999997</v>
      </c>
      <c r="AA37">
        <f t="shared" si="3"/>
        <v>3740.2819999999974</v>
      </c>
      <c r="AB37" s="6">
        <f t="shared" si="4"/>
        <v>0.19629789097492437</v>
      </c>
      <c r="AC37" t="str">
        <f t="shared" si="5"/>
        <v>May</v>
      </c>
      <c r="AD37">
        <f t="shared" si="6"/>
        <v>2024</v>
      </c>
      <c r="AE37" t="str">
        <f t="shared" si="7"/>
        <v>Clean</v>
      </c>
    </row>
    <row r="38" spans="1:31">
      <c r="A38" t="s">
        <v>208</v>
      </c>
      <c r="B38" s="3">
        <v>45590</v>
      </c>
      <c r="C38" s="3">
        <v>45593</v>
      </c>
      <c r="D38" t="s">
        <v>209</v>
      </c>
      <c r="E38" t="s">
        <v>141</v>
      </c>
      <c r="F38" t="s">
        <v>90</v>
      </c>
      <c r="G38" t="s">
        <v>63</v>
      </c>
      <c r="H38" t="s">
        <v>64</v>
      </c>
      <c r="I38" t="s">
        <v>65</v>
      </c>
      <c r="J38" t="s">
        <v>41</v>
      </c>
      <c r="K38" t="s">
        <v>158</v>
      </c>
      <c r="L38" t="s">
        <v>210</v>
      </c>
      <c r="M38" t="s">
        <v>31</v>
      </c>
      <c r="N38">
        <v>3</v>
      </c>
      <c r="O38">
        <v>3126.47</v>
      </c>
      <c r="P38">
        <v>0</v>
      </c>
      <c r="Q38">
        <v>9379.41</v>
      </c>
      <c r="R38">
        <v>6670.85</v>
      </c>
      <c r="S38">
        <v>2708.56</v>
      </c>
      <c r="T38" t="s">
        <v>32</v>
      </c>
      <c r="U38" t="s">
        <v>103</v>
      </c>
      <c r="V38">
        <f>IF(OR(B38="Invalid Date",C38="Invalid Date"),"Invalid Date",C38-B38)</f>
        <v>3</v>
      </c>
      <c r="W38" s="4" t="str">
        <f>IF(OR(B38="Invalid Date",C38="Invalid Date"),"Invalid Date",IF(C38&lt;B38,"Invalid Shipping","OK"))</f>
        <v>OK</v>
      </c>
      <c r="X38">
        <f t="shared" si="0"/>
        <v>1</v>
      </c>
      <c r="Y38">
        <f t="shared" si="1"/>
        <v>0</v>
      </c>
      <c r="Z38">
        <f t="shared" si="2"/>
        <v>9379.41</v>
      </c>
      <c r="AA38">
        <f t="shared" si="3"/>
        <v>2708.5599999999995</v>
      </c>
      <c r="AB38" s="6">
        <f t="shared" si="4"/>
        <v>0.28877722585962223</v>
      </c>
      <c r="AC38" t="str">
        <f t="shared" si="5"/>
        <v>October</v>
      </c>
      <c r="AD38">
        <f t="shared" si="6"/>
        <v>2024</v>
      </c>
      <c r="AE38" t="str">
        <f t="shared" si="7"/>
        <v>Clean</v>
      </c>
    </row>
    <row r="39" spans="1:31">
      <c r="A39" t="s">
        <v>211</v>
      </c>
      <c r="B39" s="3">
        <v>45867</v>
      </c>
      <c r="C39" s="3">
        <v>45867</v>
      </c>
      <c r="D39" t="s">
        <v>212</v>
      </c>
      <c r="E39" t="s">
        <v>162</v>
      </c>
      <c r="F39" t="s">
        <v>24</v>
      </c>
      <c r="G39" t="s">
        <v>63</v>
      </c>
      <c r="H39" t="s">
        <v>64</v>
      </c>
      <c r="I39" t="s">
        <v>65</v>
      </c>
      <c r="J39" t="s">
        <v>74</v>
      </c>
      <c r="K39" t="s">
        <v>80</v>
      </c>
      <c r="L39" t="s">
        <v>213</v>
      </c>
      <c r="M39" t="s">
        <v>59</v>
      </c>
      <c r="N39">
        <v>4</v>
      </c>
      <c r="O39">
        <v>1327.54</v>
      </c>
      <c r="P39">
        <v>0.2</v>
      </c>
      <c r="Q39">
        <v>4248.13</v>
      </c>
      <c r="R39">
        <v>3321.09</v>
      </c>
      <c r="S39">
        <v>927.04</v>
      </c>
      <c r="T39" t="s">
        <v>32</v>
      </c>
      <c r="U39" t="s">
        <v>33</v>
      </c>
      <c r="V39">
        <f>IF(OR(B39="Invalid Date",C39="Invalid Date"),"Invalid Date",C39-B39)</f>
        <v>0</v>
      </c>
      <c r="W39" s="4" t="str">
        <f>IF(OR(B39="Invalid Date",C39="Invalid Date"),"Invalid Date",IF(C39&lt;B39,"Invalid Shipping","OK"))</f>
        <v>OK</v>
      </c>
      <c r="X39">
        <f t="shared" si="0"/>
        <v>1</v>
      </c>
      <c r="Y39">
        <f t="shared" si="1"/>
        <v>0.2</v>
      </c>
      <c r="Z39">
        <f t="shared" si="2"/>
        <v>4248.1279999999997</v>
      </c>
      <c r="AA39">
        <f t="shared" si="3"/>
        <v>927.03799999999956</v>
      </c>
      <c r="AB39" s="6">
        <f t="shared" si="4"/>
        <v>0.21822270892025844</v>
      </c>
      <c r="AC39" t="str">
        <f t="shared" si="5"/>
        <v>July</v>
      </c>
      <c r="AD39">
        <f t="shared" si="6"/>
        <v>2025</v>
      </c>
      <c r="AE39" t="str">
        <f t="shared" si="7"/>
        <v>Clean</v>
      </c>
    </row>
    <row r="40" spans="1:31">
      <c r="A40" t="s">
        <v>214</v>
      </c>
      <c r="B40" s="3">
        <v>45460</v>
      </c>
      <c r="C40" s="3">
        <v>45465</v>
      </c>
      <c r="D40" t="s">
        <v>215</v>
      </c>
      <c r="E40" t="s">
        <v>128</v>
      </c>
      <c r="F40" t="s">
        <v>90</v>
      </c>
      <c r="G40" t="s">
        <v>63</v>
      </c>
      <c r="H40" t="s">
        <v>180</v>
      </c>
      <c r="I40" t="s">
        <v>181</v>
      </c>
      <c r="J40" t="s">
        <v>74</v>
      </c>
      <c r="K40" t="s">
        <v>171</v>
      </c>
      <c r="L40" t="s">
        <v>216</v>
      </c>
      <c r="M40" t="s">
        <v>50</v>
      </c>
      <c r="N40">
        <v>7</v>
      </c>
      <c r="O40">
        <v>2210.6799999999998</v>
      </c>
      <c r="P40">
        <v>0.1</v>
      </c>
      <c r="Q40">
        <v>13927.28</v>
      </c>
      <c r="R40">
        <v>10504.87</v>
      </c>
      <c r="S40">
        <v>3422.41</v>
      </c>
      <c r="T40" t="s">
        <v>32</v>
      </c>
      <c r="U40" t="s">
        <v>33</v>
      </c>
      <c r="V40">
        <f>IF(OR(B40="Invalid Date",C40="Invalid Date"),"Invalid Date",C40-B40)</f>
        <v>5</v>
      </c>
      <c r="W40" s="4" t="str">
        <f>IF(OR(B40="Invalid Date",C40="Invalid Date"),"Invalid Date",IF(C40&lt;B40,"Invalid Shipping","OK"))</f>
        <v>OK</v>
      </c>
      <c r="X40">
        <f t="shared" si="0"/>
        <v>1</v>
      </c>
      <c r="Y40">
        <f t="shared" si="1"/>
        <v>0.1</v>
      </c>
      <c r="Z40">
        <f t="shared" si="2"/>
        <v>13927.284</v>
      </c>
      <c r="AA40">
        <f t="shared" si="3"/>
        <v>3422.4139999999989</v>
      </c>
      <c r="AB40" s="6">
        <f t="shared" si="4"/>
        <v>0.24573448778670692</v>
      </c>
      <c r="AC40" t="str">
        <f t="shared" si="5"/>
        <v>June</v>
      </c>
      <c r="AD40">
        <f t="shared" si="6"/>
        <v>2024</v>
      </c>
      <c r="AE40" t="str">
        <f t="shared" si="7"/>
        <v>Clean</v>
      </c>
    </row>
    <row r="41" spans="1:31">
      <c r="A41" t="s">
        <v>217</v>
      </c>
      <c r="B41" s="3">
        <v>45608</v>
      </c>
      <c r="C41" s="3">
        <v>45637</v>
      </c>
      <c r="D41" t="s">
        <v>218</v>
      </c>
      <c r="E41" t="s">
        <v>36</v>
      </c>
      <c r="F41" t="s">
        <v>37</v>
      </c>
      <c r="G41" t="s">
        <v>63</v>
      </c>
      <c r="H41" t="s">
        <v>72</v>
      </c>
      <c r="I41" t="s">
        <v>73</v>
      </c>
      <c r="J41" t="s">
        <v>74</v>
      </c>
      <c r="K41" t="s">
        <v>80</v>
      </c>
      <c r="L41" t="s">
        <v>219</v>
      </c>
      <c r="M41" t="s">
        <v>50</v>
      </c>
      <c r="N41">
        <v>4</v>
      </c>
      <c r="O41">
        <v>1370.92</v>
      </c>
      <c r="P41">
        <v>0.1</v>
      </c>
      <c r="Q41">
        <v>4935.3100000000004</v>
      </c>
      <c r="R41">
        <v>3374.77</v>
      </c>
      <c r="S41">
        <v>1560.54</v>
      </c>
      <c r="T41" t="s">
        <v>111</v>
      </c>
      <c r="U41" t="s">
        <v>103</v>
      </c>
      <c r="V41">
        <f>IF(OR(B41="Invalid Date",C41="Invalid Date"),"Invalid Date",C41-B41)</f>
        <v>29</v>
      </c>
      <c r="W41" s="4" t="str">
        <f>IF(OR(B41="Invalid Date",C41="Invalid Date"),"Invalid Date",IF(C41&lt;B41,"Invalid Shipping","OK"))</f>
        <v>OK</v>
      </c>
      <c r="X41">
        <f t="shared" si="0"/>
        <v>1</v>
      </c>
      <c r="Y41">
        <f t="shared" si="1"/>
        <v>0.1</v>
      </c>
      <c r="Z41">
        <f t="shared" si="2"/>
        <v>4935.3120000000008</v>
      </c>
      <c r="AA41">
        <f t="shared" si="3"/>
        <v>1560.5420000000008</v>
      </c>
      <c r="AB41" s="6">
        <f t="shared" si="4"/>
        <v>0.31619925954022776</v>
      </c>
      <c r="AC41" t="str">
        <f t="shared" si="5"/>
        <v>November</v>
      </c>
      <c r="AD41">
        <f t="shared" si="6"/>
        <v>2024</v>
      </c>
      <c r="AE41" t="str">
        <f t="shared" si="7"/>
        <v>Clean</v>
      </c>
    </row>
    <row r="42" spans="1:31">
      <c r="A42" t="s">
        <v>220</v>
      </c>
      <c r="B42" s="3">
        <v>45575</v>
      </c>
      <c r="C42" s="3">
        <v>45581</v>
      </c>
      <c r="D42" t="s">
        <v>221</v>
      </c>
      <c r="E42" t="s">
        <v>47</v>
      </c>
      <c r="F42" t="s">
        <v>95</v>
      </c>
      <c r="G42" t="s">
        <v>63</v>
      </c>
      <c r="H42" t="s">
        <v>26</v>
      </c>
      <c r="I42" t="s">
        <v>109</v>
      </c>
      <c r="J42" t="s">
        <v>74</v>
      </c>
      <c r="K42" t="s">
        <v>80</v>
      </c>
      <c r="L42" t="s">
        <v>222</v>
      </c>
      <c r="M42" t="s">
        <v>59</v>
      </c>
      <c r="N42">
        <v>7</v>
      </c>
      <c r="O42">
        <v>2509.27</v>
      </c>
      <c r="P42">
        <v>0.2</v>
      </c>
      <c r="Q42">
        <v>14051.91</v>
      </c>
      <c r="R42">
        <v>11990.37</v>
      </c>
      <c r="S42">
        <v>2061.54</v>
      </c>
      <c r="T42" t="s">
        <v>32</v>
      </c>
      <c r="U42" t="s">
        <v>33</v>
      </c>
      <c r="V42">
        <f>IF(OR(B42="Invalid Date",C42="Invalid Date"),"Invalid Date",C42-B42)</f>
        <v>6</v>
      </c>
      <c r="W42" s="4" t="str">
        <f>IF(OR(B42="Invalid Date",C42="Invalid Date"),"Invalid Date",IF(C42&lt;B42,"Invalid Shipping","OK"))</f>
        <v>OK</v>
      </c>
      <c r="X42">
        <f t="shared" si="0"/>
        <v>1</v>
      </c>
      <c r="Y42">
        <f t="shared" si="1"/>
        <v>0.2</v>
      </c>
      <c r="Z42">
        <f t="shared" si="2"/>
        <v>14051.912</v>
      </c>
      <c r="AA42">
        <f t="shared" si="3"/>
        <v>2061.5419999999995</v>
      </c>
      <c r="AB42" s="6">
        <f t="shared" si="4"/>
        <v>0.14670900301681361</v>
      </c>
      <c r="AC42" t="str">
        <f t="shared" si="5"/>
        <v>October</v>
      </c>
      <c r="AD42">
        <f t="shared" si="6"/>
        <v>2024</v>
      </c>
      <c r="AE42" t="str">
        <f t="shared" si="7"/>
        <v>Clean</v>
      </c>
    </row>
    <row r="43" spans="1:31">
      <c r="A43" t="s">
        <v>223</v>
      </c>
      <c r="B43" s="3">
        <v>45629</v>
      </c>
      <c r="C43" s="3">
        <v>45368</v>
      </c>
      <c r="D43" t="s">
        <v>224</v>
      </c>
      <c r="E43" t="s">
        <v>128</v>
      </c>
      <c r="F43" t="s">
        <v>37</v>
      </c>
      <c r="G43" t="s">
        <v>38</v>
      </c>
      <c r="H43" t="s">
        <v>39</v>
      </c>
      <c r="I43" t="s">
        <v>40</v>
      </c>
      <c r="J43" t="s">
        <v>41</v>
      </c>
      <c r="K43" t="s">
        <v>158</v>
      </c>
      <c r="L43" t="s">
        <v>225</v>
      </c>
      <c r="M43" t="s">
        <v>44</v>
      </c>
      <c r="N43">
        <v>8</v>
      </c>
      <c r="O43">
        <v>855.81</v>
      </c>
      <c r="P43">
        <v>0</v>
      </c>
      <c r="Q43">
        <v>6846.48</v>
      </c>
      <c r="R43">
        <v>4239.8900000000003</v>
      </c>
      <c r="S43">
        <v>2606.59</v>
      </c>
      <c r="T43" t="s">
        <v>111</v>
      </c>
      <c r="U43" t="s">
        <v>68</v>
      </c>
      <c r="V43">
        <f>IF(OR(B43="Invalid Date",C43="Invalid Date"),"Invalid Date",C43-B43)</f>
        <v>-261</v>
      </c>
      <c r="W43" s="4" t="str">
        <f>IF(OR(B43="Invalid Date",C43="Invalid Date"),"Invalid Date",IF(C43&lt;B43,"Invalid Shipping","OK"))</f>
        <v>Invalid Shipping</v>
      </c>
      <c r="X43">
        <f t="shared" si="0"/>
        <v>1</v>
      </c>
      <c r="Y43">
        <f t="shared" si="1"/>
        <v>0</v>
      </c>
      <c r="Z43">
        <f t="shared" si="2"/>
        <v>6846.48</v>
      </c>
      <c r="AA43">
        <f t="shared" si="3"/>
        <v>2606.5899999999992</v>
      </c>
      <c r="AB43" s="6">
        <f t="shared" si="4"/>
        <v>0.38071972750961069</v>
      </c>
      <c r="AC43" t="str">
        <f t="shared" si="5"/>
        <v>December</v>
      </c>
      <c r="AD43">
        <f t="shared" si="6"/>
        <v>2024</v>
      </c>
      <c r="AE43" t="str">
        <f t="shared" si="7"/>
        <v>Invalid</v>
      </c>
    </row>
    <row r="44" spans="1:31">
      <c r="A44" t="s">
        <v>226</v>
      </c>
      <c r="B44" s="3">
        <v>45940</v>
      </c>
      <c r="C44" s="3">
        <v>45945</v>
      </c>
      <c r="D44" t="s">
        <v>227</v>
      </c>
      <c r="E44" t="s">
        <v>53</v>
      </c>
      <c r="F44" t="s">
        <v>90</v>
      </c>
      <c r="G44" t="s">
        <v>38</v>
      </c>
      <c r="H44" t="s">
        <v>228</v>
      </c>
      <c r="I44" t="s">
        <v>229</v>
      </c>
      <c r="J44" t="s">
        <v>74</v>
      </c>
      <c r="K44" t="s">
        <v>171</v>
      </c>
      <c r="L44" t="s">
        <v>230</v>
      </c>
      <c r="M44" t="s">
        <v>59</v>
      </c>
      <c r="N44">
        <v>8</v>
      </c>
      <c r="O44">
        <v>979.87</v>
      </c>
      <c r="P44">
        <v>0.05</v>
      </c>
      <c r="Q44">
        <v>7447.01</v>
      </c>
      <c r="R44">
        <v>4496.22</v>
      </c>
      <c r="S44">
        <v>2950.79</v>
      </c>
      <c r="T44" t="s">
        <v>32</v>
      </c>
      <c r="U44" t="s">
        <v>33</v>
      </c>
      <c r="V44">
        <f>IF(OR(B44="Invalid Date",C44="Invalid Date"),"Invalid Date",C44-B44)</f>
        <v>5</v>
      </c>
      <c r="W44" s="4" t="str">
        <f>IF(OR(B44="Invalid Date",C44="Invalid Date"),"Invalid Date",IF(C44&lt;B44,"Invalid Shipping","OK"))</f>
        <v>OK</v>
      </c>
      <c r="X44">
        <f t="shared" si="0"/>
        <v>1</v>
      </c>
      <c r="Y44">
        <f t="shared" si="1"/>
        <v>0.05</v>
      </c>
      <c r="Z44">
        <f t="shared" si="2"/>
        <v>7447.0119999999997</v>
      </c>
      <c r="AA44">
        <f t="shared" si="3"/>
        <v>2950.7919999999995</v>
      </c>
      <c r="AB44" s="6">
        <f t="shared" si="4"/>
        <v>0.39623838393170302</v>
      </c>
      <c r="AC44" t="str">
        <f t="shared" si="5"/>
        <v>October</v>
      </c>
      <c r="AD44">
        <f t="shared" si="6"/>
        <v>2025</v>
      </c>
      <c r="AE44" t="str">
        <f t="shared" si="7"/>
        <v>Clean</v>
      </c>
    </row>
    <row r="45" spans="1:31">
      <c r="A45" t="s">
        <v>231</v>
      </c>
      <c r="B45" s="3">
        <v>45511</v>
      </c>
      <c r="C45" s="3" t="s">
        <v>2763</v>
      </c>
      <c r="D45" t="s">
        <v>232</v>
      </c>
      <c r="E45" t="s">
        <v>114</v>
      </c>
      <c r="F45" t="s">
        <v>37</v>
      </c>
      <c r="G45" t="s">
        <v>38</v>
      </c>
      <c r="H45" t="s">
        <v>39</v>
      </c>
      <c r="I45" t="s">
        <v>40</v>
      </c>
      <c r="J45" t="s">
        <v>41</v>
      </c>
      <c r="K45" t="s">
        <v>57</v>
      </c>
      <c r="L45" t="s">
        <v>233</v>
      </c>
      <c r="M45" t="s">
        <v>44</v>
      </c>
      <c r="N45">
        <v>3</v>
      </c>
      <c r="O45">
        <v>1010.23</v>
      </c>
      <c r="P45">
        <v>0</v>
      </c>
      <c r="Q45">
        <v>3030.69</v>
      </c>
      <c r="R45">
        <v>1721.08</v>
      </c>
      <c r="S45">
        <v>1309.6099999999999</v>
      </c>
      <c r="T45" t="s">
        <v>32</v>
      </c>
      <c r="U45" t="s">
        <v>33</v>
      </c>
      <c r="V45" t="str">
        <f>IF(OR(B45="Invalid Date",C45="Invalid Date"),"Invalid Date",C45-B45)</f>
        <v>Invalid Date</v>
      </c>
      <c r="W45" s="4" t="str">
        <f>IF(OR(B45="Invalid Date",C45="Invalid Date"),"Invalid Date",IF(C45&lt;B45,"Invalid Shipping","OK"))</f>
        <v>Invalid Date</v>
      </c>
      <c r="X45">
        <f t="shared" si="0"/>
        <v>1</v>
      </c>
      <c r="Y45">
        <f t="shared" si="1"/>
        <v>0</v>
      </c>
      <c r="Z45">
        <f t="shared" si="2"/>
        <v>3030.69</v>
      </c>
      <c r="AA45">
        <f t="shared" si="3"/>
        <v>1309.6100000000001</v>
      </c>
      <c r="AB45" s="6">
        <f t="shared" si="4"/>
        <v>0.43211611877163292</v>
      </c>
      <c r="AC45" t="str">
        <f t="shared" si="5"/>
        <v>August</v>
      </c>
      <c r="AD45">
        <f t="shared" si="6"/>
        <v>2024</v>
      </c>
      <c r="AE45" t="str">
        <f t="shared" si="7"/>
        <v>Invalid</v>
      </c>
    </row>
    <row r="46" spans="1:31">
      <c r="A46" t="s">
        <v>234</v>
      </c>
      <c r="B46" s="3" t="s">
        <v>2763</v>
      </c>
      <c r="C46" s="3">
        <v>45468</v>
      </c>
      <c r="D46" t="s">
        <v>235</v>
      </c>
      <c r="E46" t="s">
        <v>141</v>
      </c>
      <c r="F46" t="s">
        <v>37</v>
      </c>
      <c r="G46" t="s">
        <v>25</v>
      </c>
      <c r="H46" t="s">
        <v>236</v>
      </c>
      <c r="I46" t="s">
        <v>237</v>
      </c>
      <c r="J46" t="s">
        <v>41</v>
      </c>
      <c r="K46" t="s">
        <v>66</v>
      </c>
      <c r="L46" t="s">
        <v>238</v>
      </c>
      <c r="M46" t="s">
        <v>59</v>
      </c>
      <c r="N46">
        <v>9</v>
      </c>
      <c r="O46">
        <v>3329.77</v>
      </c>
      <c r="P46">
        <v>0.1</v>
      </c>
      <c r="Q46">
        <v>26971.14</v>
      </c>
      <c r="R46">
        <v>17376.2</v>
      </c>
      <c r="S46">
        <v>9594.94</v>
      </c>
      <c r="T46" t="s">
        <v>32</v>
      </c>
      <c r="U46" t="s">
        <v>33</v>
      </c>
      <c r="V46" t="str">
        <f>IF(OR(B46="Invalid Date",C46="Invalid Date"),"Invalid Date",C46-B46)</f>
        <v>Invalid Date</v>
      </c>
      <c r="W46" s="4" t="str">
        <f>IF(OR(B46="Invalid Date",C46="Invalid Date"),"Invalid Date",IF(C46&lt;B46,"Invalid Shipping","OK"))</f>
        <v>Invalid Date</v>
      </c>
      <c r="X46">
        <f t="shared" si="0"/>
        <v>1</v>
      </c>
      <c r="Y46">
        <f t="shared" si="1"/>
        <v>0.1</v>
      </c>
      <c r="Z46">
        <f t="shared" si="2"/>
        <v>26971.137000000002</v>
      </c>
      <c r="AA46">
        <f t="shared" si="3"/>
        <v>9594.9370000000017</v>
      </c>
      <c r="AB46" s="6">
        <f t="shared" si="4"/>
        <v>0.35574833200394929</v>
      </c>
      <c r="AC46" t="str">
        <f t="shared" si="5"/>
        <v/>
      </c>
      <c r="AD46" t="str">
        <f t="shared" si="6"/>
        <v/>
      </c>
      <c r="AE46" t="str">
        <f t="shared" si="7"/>
        <v>Invalid</v>
      </c>
    </row>
    <row r="47" spans="1:31">
      <c r="A47" t="s">
        <v>239</v>
      </c>
      <c r="B47" s="3">
        <v>45309</v>
      </c>
      <c r="C47" s="3">
        <v>45315</v>
      </c>
      <c r="D47" t="s">
        <v>240</v>
      </c>
      <c r="E47" t="s">
        <v>47</v>
      </c>
      <c r="F47" t="s">
        <v>95</v>
      </c>
      <c r="G47" t="s">
        <v>38</v>
      </c>
      <c r="H47" t="s">
        <v>145</v>
      </c>
      <c r="I47" t="s">
        <v>146</v>
      </c>
      <c r="J47" t="s">
        <v>28</v>
      </c>
      <c r="K47" t="s">
        <v>48</v>
      </c>
      <c r="L47" t="s">
        <v>241</v>
      </c>
      <c r="M47" t="s">
        <v>31</v>
      </c>
      <c r="N47">
        <v>8</v>
      </c>
      <c r="O47">
        <v>3927.82</v>
      </c>
      <c r="P47">
        <v>0.05</v>
      </c>
      <c r="Q47">
        <v>29851.43</v>
      </c>
      <c r="R47">
        <v>17487.48</v>
      </c>
      <c r="S47">
        <v>12363.95</v>
      </c>
      <c r="T47" t="s">
        <v>111</v>
      </c>
      <c r="U47" t="s">
        <v>103</v>
      </c>
      <c r="V47">
        <f>IF(OR(B47="Invalid Date",C47="Invalid Date"),"Invalid Date",C47-B47)</f>
        <v>6</v>
      </c>
      <c r="W47" s="4" t="str">
        <f>IF(OR(B47="Invalid Date",C47="Invalid Date"),"Invalid Date",IF(C47&lt;B47,"Invalid Shipping","OK"))</f>
        <v>OK</v>
      </c>
      <c r="X47">
        <f t="shared" si="0"/>
        <v>1</v>
      </c>
      <c r="Y47">
        <f t="shared" si="1"/>
        <v>0.05</v>
      </c>
      <c r="Z47">
        <f t="shared" si="2"/>
        <v>29851.432000000001</v>
      </c>
      <c r="AA47">
        <f t="shared" si="3"/>
        <v>12363.952000000001</v>
      </c>
      <c r="AB47" s="6">
        <f t="shared" si="4"/>
        <v>0.41418287739094062</v>
      </c>
      <c r="AC47" t="str">
        <f t="shared" si="5"/>
        <v>January</v>
      </c>
      <c r="AD47">
        <f t="shared" si="6"/>
        <v>2024</v>
      </c>
      <c r="AE47" t="str">
        <f t="shared" si="7"/>
        <v>Clean</v>
      </c>
    </row>
    <row r="48" spans="1:31">
      <c r="A48" t="s">
        <v>242</v>
      </c>
      <c r="B48" s="3">
        <v>45492</v>
      </c>
      <c r="C48" s="3">
        <v>45492</v>
      </c>
      <c r="D48" t="s">
        <v>243</v>
      </c>
      <c r="E48" t="s">
        <v>62</v>
      </c>
      <c r="F48" t="s">
        <v>37</v>
      </c>
      <c r="G48" t="s">
        <v>54</v>
      </c>
      <c r="H48" t="s">
        <v>185</v>
      </c>
      <c r="I48" t="s">
        <v>186</v>
      </c>
      <c r="J48" t="s">
        <v>41</v>
      </c>
      <c r="K48" t="s">
        <v>158</v>
      </c>
      <c r="L48" t="s">
        <v>244</v>
      </c>
      <c r="M48" t="s">
        <v>59</v>
      </c>
      <c r="N48">
        <v>9</v>
      </c>
      <c r="O48">
        <v>2386.79</v>
      </c>
      <c r="P48">
        <v>0.25</v>
      </c>
      <c r="Q48">
        <v>16110.83</v>
      </c>
      <c r="R48">
        <v>10680.03</v>
      </c>
      <c r="S48">
        <v>5430.8</v>
      </c>
      <c r="T48" t="s">
        <v>102</v>
      </c>
      <c r="U48" t="s">
        <v>103</v>
      </c>
      <c r="V48">
        <f>IF(OR(B48="Invalid Date",C48="Invalid Date"),"Invalid Date",C48-B48)</f>
        <v>0</v>
      </c>
      <c r="W48" s="4" t="str">
        <f>IF(OR(B48="Invalid Date",C48="Invalid Date"),"Invalid Date",IF(C48&lt;B48,"Invalid Shipping","OK"))</f>
        <v>OK</v>
      </c>
      <c r="X48">
        <f t="shared" si="0"/>
        <v>1</v>
      </c>
      <c r="Y48">
        <f t="shared" si="1"/>
        <v>0.25</v>
      </c>
      <c r="Z48">
        <f t="shared" si="2"/>
        <v>16110.8325</v>
      </c>
      <c r="AA48">
        <f t="shared" si="3"/>
        <v>5430.8024999999998</v>
      </c>
      <c r="AB48" s="6">
        <f t="shared" si="4"/>
        <v>0.33709012243780695</v>
      </c>
      <c r="AC48" t="str">
        <f t="shared" si="5"/>
        <v>July</v>
      </c>
      <c r="AD48">
        <f t="shared" si="6"/>
        <v>2024</v>
      </c>
      <c r="AE48" t="str">
        <f t="shared" si="7"/>
        <v>Clean</v>
      </c>
    </row>
    <row r="49" spans="1:31">
      <c r="A49" t="s">
        <v>245</v>
      </c>
      <c r="B49" s="3">
        <v>45516</v>
      </c>
      <c r="C49" s="3">
        <v>45516</v>
      </c>
      <c r="D49" t="s">
        <v>246</v>
      </c>
      <c r="E49" t="s">
        <v>118</v>
      </c>
      <c r="F49" t="s">
        <v>90</v>
      </c>
      <c r="G49" t="s">
        <v>54</v>
      </c>
      <c r="H49" t="s">
        <v>247</v>
      </c>
      <c r="I49" t="s">
        <v>248</v>
      </c>
      <c r="J49" t="s">
        <v>28</v>
      </c>
      <c r="K49" t="s">
        <v>124</v>
      </c>
      <c r="L49" t="s">
        <v>249</v>
      </c>
      <c r="M49" t="s">
        <v>59</v>
      </c>
      <c r="N49">
        <v>8</v>
      </c>
      <c r="O49">
        <v>2445.31</v>
      </c>
      <c r="P49">
        <v>0.1</v>
      </c>
      <c r="Q49">
        <v>17606.23</v>
      </c>
      <c r="R49">
        <v>12438.96</v>
      </c>
      <c r="S49">
        <v>5167.2700000000004</v>
      </c>
      <c r="T49" t="s">
        <v>32</v>
      </c>
      <c r="U49" t="s">
        <v>33</v>
      </c>
      <c r="V49">
        <f>IF(OR(B49="Invalid Date",C49="Invalid Date"),"Invalid Date",C49-B49)</f>
        <v>0</v>
      </c>
      <c r="W49" s="4" t="str">
        <f>IF(OR(B49="Invalid Date",C49="Invalid Date"),"Invalid Date",IF(C49&lt;B49,"Invalid Shipping","OK"))</f>
        <v>OK</v>
      </c>
      <c r="X49">
        <f t="shared" si="0"/>
        <v>1</v>
      </c>
      <c r="Y49">
        <f t="shared" si="1"/>
        <v>0.1</v>
      </c>
      <c r="Z49">
        <f t="shared" si="2"/>
        <v>17606.232</v>
      </c>
      <c r="AA49">
        <f t="shared" si="3"/>
        <v>5167.2720000000008</v>
      </c>
      <c r="AB49" s="6">
        <f t="shared" si="4"/>
        <v>0.29349107747756592</v>
      </c>
      <c r="AC49" t="str">
        <f t="shared" si="5"/>
        <v>August</v>
      </c>
      <c r="AD49">
        <f t="shared" si="6"/>
        <v>2024</v>
      </c>
      <c r="AE49" t="str">
        <f t="shared" si="7"/>
        <v>Clean</v>
      </c>
    </row>
    <row r="50" spans="1:31">
      <c r="A50" t="s">
        <v>250</v>
      </c>
      <c r="B50" s="3">
        <v>45687</v>
      </c>
      <c r="C50" s="3">
        <v>45693</v>
      </c>
      <c r="D50" t="s">
        <v>251</v>
      </c>
      <c r="E50" t="s">
        <v>79</v>
      </c>
      <c r="F50" t="s">
        <v>90</v>
      </c>
      <c r="G50" t="s">
        <v>63</v>
      </c>
      <c r="H50" t="s">
        <v>64</v>
      </c>
      <c r="I50" t="s">
        <v>65</v>
      </c>
      <c r="J50" t="s">
        <v>41</v>
      </c>
      <c r="K50" t="s">
        <v>66</v>
      </c>
      <c r="L50" t="s">
        <v>252</v>
      </c>
      <c r="M50" t="s">
        <v>31</v>
      </c>
      <c r="N50">
        <v>7</v>
      </c>
      <c r="O50">
        <v>4063.66</v>
      </c>
      <c r="P50">
        <v>0</v>
      </c>
      <c r="Q50">
        <v>28445.62</v>
      </c>
      <c r="R50">
        <v>20938.59</v>
      </c>
      <c r="S50">
        <v>7507.03</v>
      </c>
      <c r="T50" t="s">
        <v>32</v>
      </c>
      <c r="U50" t="s">
        <v>33</v>
      </c>
      <c r="V50">
        <f>IF(OR(B50="Invalid Date",C50="Invalid Date"),"Invalid Date",C50-B50)</f>
        <v>6</v>
      </c>
      <c r="W50" s="4" t="str">
        <f>IF(OR(B50="Invalid Date",C50="Invalid Date"),"Invalid Date",IF(C50&lt;B50,"Invalid Shipping","OK"))</f>
        <v>OK</v>
      </c>
      <c r="X50">
        <f t="shared" si="0"/>
        <v>1</v>
      </c>
      <c r="Y50">
        <f t="shared" si="1"/>
        <v>0</v>
      </c>
      <c r="Z50">
        <f t="shared" si="2"/>
        <v>28445.62</v>
      </c>
      <c r="AA50">
        <f t="shared" si="3"/>
        <v>7507.0299999999988</v>
      </c>
      <c r="AB50" s="6">
        <f t="shared" si="4"/>
        <v>0.26390811660986818</v>
      </c>
      <c r="AC50" t="str">
        <f t="shared" si="5"/>
        <v>January</v>
      </c>
      <c r="AD50">
        <f t="shared" si="6"/>
        <v>2025</v>
      </c>
      <c r="AE50" t="str">
        <f t="shared" si="7"/>
        <v>Clean</v>
      </c>
    </row>
    <row r="51" spans="1:31">
      <c r="A51" t="s">
        <v>253</v>
      </c>
      <c r="B51" s="3">
        <v>45388</v>
      </c>
      <c r="C51" s="3">
        <v>45395</v>
      </c>
      <c r="D51" t="s">
        <v>254</v>
      </c>
      <c r="E51" t="s">
        <v>128</v>
      </c>
      <c r="F51" t="s">
        <v>95</v>
      </c>
      <c r="G51" t="s">
        <v>25</v>
      </c>
      <c r="H51" t="s">
        <v>136</v>
      </c>
      <c r="I51" t="s">
        <v>137</v>
      </c>
      <c r="J51" t="s">
        <v>74</v>
      </c>
      <c r="K51" t="s">
        <v>80</v>
      </c>
      <c r="L51" t="s">
        <v>255</v>
      </c>
      <c r="M51" t="s">
        <v>31</v>
      </c>
      <c r="N51">
        <v>9</v>
      </c>
      <c r="O51">
        <v>792.11</v>
      </c>
      <c r="P51">
        <v>0.05</v>
      </c>
      <c r="Q51">
        <v>6772.54</v>
      </c>
      <c r="R51">
        <v>5755.46</v>
      </c>
      <c r="S51">
        <v>1017.08</v>
      </c>
      <c r="T51" t="s">
        <v>32</v>
      </c>
      <c r="U51" t="s">
        <v>33</v>
      </c>
      <c r="V51">
        <f>IF(OR(B51="Invalid Date",C51="Invalid Date"),"Invalid Date",C51-B51)</f>
        <v>7</v>
      </c>
      <c r="W51" s="4" t="str">
        <f>IF(OR(B51="Invalid Date",C51="Invalid Date"),"Invalid Date",IF(C51&lt;B51,"Invalid Shipping","OK"))</f>
        <v>OK</v>
      </c>
      <c r="X51">
        <f t="shared" si="0"/>
        <v>1</v>
      </c>
      <c r="Y51">
        <f t="shared" si="1"/>
        <v>0.05</v>
      </c>
      <c r="Z51">
        <f t="shared" si="2"/>
        <v>6772.5404999999992</v>
      </c>
      <c r="AA51">
        <f t="shared" si="3"/>
        <v>1017.0804999999991</v>
      </c>
      <c r="AB51" s="6">
        <f t="shared" si="4"/>
        <v>0.15017710119267641</v>
      </c>
      <c r="AC51" t="str">
        <f t="shared" si="5"/>
        <v>April</v>
      </c>
      <c r="AD51">
        <f t="shared" si="6"/>
        <v>2024</v>
      </c>
      <c r="AE51" t="str">
        <f t="shared" si="7"/>
        <v>Clean</v>
      </c>
    </row>
    <row r="52" spans="1:31">
      <c r="A52" t="s">
        <v>256</v>
      </c>
      <c r="B52" s="3">
        <v>45966</v>
      </c>
      <c r="C52" s="3">
        <v>45796</v>
      </c>
      <c r="D52" t="s">
        <v>257</v>
      </c>
      <c r="E52" t="s">
        <v>132</v>
      </c>
      <c r="F52" t="s">
        <v>24</v>
      </c>
      <c r="G52" t="s">
        <v>38</v>
      </c>
      <c r="H52" t="s">
        <v>99</v>
      </c>
      <c r="I52" t="s">
        <v>100</v>
      </c>
      <c r="J52" t="s">
        <v>74</v>
      </c>
      <c r="K52" t="s">
        <v>80</v>
      </c>
      <c r="L52" t="s">
        <v>258</v>
      </c>
      <c r="M52" t="s">
        <v>59</v>
      </c>
      <c r="N52">
        <v>1</v>
      </c>
      <c r="O52">
        <v>2382.8000000000002</v>
      </c>
      <c r="P52">
        <v>0.15</v>
      </c>
      <c r="Q52">
        <v>2025.38</v>
      </c>
      <c r="R52">
        <v>1140.6500000000001</v>
      </c>
      <c r="S52">
        <v>884.73</v>
      </c>
      <c r="T52" t="s">
        <v>32</v>
      </c>
      <c r="U52" t="s">
        <v>33</v>
      </c>
      <c r="V52">
        <f>IF(OR(B52="Invalid Date",C52="Invalid Date"),"Invalid Date",C52-B52)</f>
        <v>-170</v>
      </c>
      <c r="W52" s="4" t="str">
        <f>IF(OR(B52="Invalid Date",C52="Invalid Date"),"Invalid Date",IF(C52&lt;B52,"Invalid Shipping","OK"))</f>
        <v>Invalid Shipping</v>
      </c>
      <c r="X52">
        <f t="shared" si="0"/>
        <v>1</v>
      </c>
      <c r="Y52">
        <f t="shared" si="1"/>
        <v>0.15</v>
      </c>
      <c r="Z52">
        <f t="shared" si="2"/>
        <v>2025.38</v>
      </c>
      <c r="AA52">
        <f t="shared" si="3"/>
        <v>884.73</v>
      </c>
      <c r="AB52" s="6">
        <f t="shared" si="4"/>
        <v>0.43682173221815163</v>
      </c>
      <c r="AC52" t="str">
        <f t="shared" si="5"/>
        <v>November</v>
      </c>
      <c r="AD52">
        <f t="shared" si="6"/>
        <v>2025</v>
      </c>
      <c r="AE52" t="str">
        <f t="shared" si="7"/>
        <v>Invalid</v>
      </c>
    </row>
    <row r="53" spans="1:31">
      <c r="A53" t="s">
        <v>259</v>
      </c>
      <c r="B53" s="3">
        <v>45406</v>
      </c>
      <c r="C53" s="3">
        <v>45411</v>
      </c>
      <c r="D53" t="s">
        <v>260</v>
      </c>
      <c r="E53" t="s">
        <v>62</v>
      </c>
      <c r="F53" t="s">
        <v>90</v>
      </c>
      <c r="G53" t="s">
        <v>54</v>
      </c>
      <c r="H53" t="s">
        <v>55</v>
      </c>
      <c r="I53" t="s">
        <v>56</v>
      </c>
      <c r="J53" t="s">
        <v>28</v>
      </c>
      <c r="K53" t="s">
        <v>48</v>
      </c>
      <c r="L53" t="s">
        <v>261</v>
      </c>
      <c r="M53" t="s">
        <v>59</v>
      </c>
      <c r="N53">
        <v>6</v>
      </c>
      <c r="O53">
        <v>1528.08</v>
      </c>
      <c r="P53">
        <v>0</v>
      </c>
      <c r="Q53">
        <v>9168.48</v>
      </c>
      <c r="R53">
        <v>7439.77</v>
      </c>
      <c r="S53">
        <v>1728.71</v>
      </c>
      <c r="T53" t="s">
        <v>32</v>
      </c>
      <c r="U53" t="s">
        <v>33</v>
      </c>
      <c r="V53">
        <f>IF(OR(B53="Invalid Date",C53="Invalid Date"),"Invalid Date",C53-B53)</f>
        <v>5</v>
      </c>
      <c r="W53" s="4" t="str">
        <f>IF(OR(B53="Invalid Date",C53="Invalid Date"),"Invalid Date",IF(C53&lt;B53,"Invalid Shipping","OK"))</f>
        <v>OK</v>
      </c>
      <c r="X53">
        <f t="shared" si="0"/>
        <v>1</v>
      </c>
      <c r="Y53">
        <f t="shared" si="1"/>
        <v>0</v>
      </c>
      <c r="Z53">
        <f t="shared" si="2"/>
        <v>9168.48</v>
      </c>
      <c r="AA53">
        <f t="shared" si="3"/>
        <v>1728.7099999999991</v>
      </c>
      <c r="AB53" s="6">
        <f t="shared" si="4"/>
        <v>0.18854924698532355</v>
      </c>
      <c r="AC53" t="str">
        <f t="shared" si="5"/>
        <v>April</v>
      </c>
      <c r="AD53">
        <f t="shared" si="6"/>
        <v>2024</v>
      </c>
      <c r="AE53" t="str">
        <f t="shared" si="7"/>
        <v>Clean</v>
      </c>
    </row>
    <row r="54" spans="1:31">
      <c r="A54" t="s">
        <v>262</v>
      </c>
      <c r="B54" s="3">
        <v>45591</v>
      </c>
      <c r="C54" s="3">
        <v>45593</v>
      </c>
      <c r="D54" t="s">
        <v>263</v>
      </c>
      <c r="E54" t="s">
        <v>264</v>
      </c>
      <c r="F54" t="s">
        <v>37</v>
      </c>
      <c r="G54" t="s">
        <v>25</v>
      </c>
      <c r="H54" t="s">
        <v>26</v>
      </c>
      <c r="I54" t="s">
        <v>27</v>
      </c>
      <c r="J54" t="s">
        <v>41</v>
      </c>
      <c r="K54" t="s">
        <v>66</v>
      </c>
      <c r="L54" t="s">
        <v>265</v>
      </c>
      <c r="M54" t="s">
        <v>50</v>
      </c>
      <c r="N54">
        <v>9</v>
      </c>
      <c r="O54">
        <v>1399.63</v>
      </c>
      <c r="P54">
        <v>0</v>
      </c>
      <c r="Q54">
        <v>12596.67</v>
      </c>
      <c r="R54">
        <v>10603.29</v>
      </c>
      <c r="S54">
        <v>1993.38</v>
      </c>
      <c r="T54" t="s">
        <v>155</v>
      </c>
      <c r="U54" t="s">
        <v>68</v>
      </c>
      <c r="V54">
        <f>IF(OR(B54="Invalid Date",C54="Invalid Date"),"Invalid Date",C54-B54)</f>
        <v>2</v>
      </c>
      <c r="W54" s="4" t="str">
        <f>IF(OR(B54="Invalid Date",C54="Invalid Date"),"Invalid Date",IF(C54&lt;B54,"Invalid Shipping","OK"))</f>
        <v>OK</v>
      </c>
      <c r="X54">
        <f t="shared" si="0"/>
        <v>1</v>
      </c>
      <c r="Y54">
        <f t="shared" si="1"/>
        <v>0</v>
      </c>
      <c r="Z54">
        <f t="shared" si="2"/>
        <v>12596.670000000002</v>
      </c>
      <c r="AA54">
        <f t="shared" si="3"/>
        <v>1993.380000000001</v>
      </c>
      <c r="AB54" s="6">
        <f t="shared" si="4"/>
        <v>0.15824658421630483</v>
      </c>
      <c r="AC54" t="str">
        <f t="shared" si="5"/>
        <v>October</v>
      </c>
      <c r="AD54">
        <f t="shared" si="6"/>
        <v>2024</v>
      </c>
      <c r="AE54" t="str">
        <f t="shared" si="7"/>
        <v>Clean</v>
      </c>
    </row>
    <row r="55" spans="1:31">
      <c r="A55" t="s">
        <v>266</v>
      </c>
      <c r="B55" s="3">
        <v>45747</v>
      </c>
      <c r="C55" s="3">
        <v>45747</v>
      </c>
      <c r="D55" t="s">
        <v>267</v>
      </c>
      <c r="E55" t="s">
        <v>264</v>
      </c>
      <c r="F55" t="s">
        <v>95</v>
      </c>
      <c r="G55" t="s">
        <v>63</v>
      </c>
      <c r="H55" t="s">
        <v>180</v>
      </c>
      <c r="I55" t="s">
        <v>181</v>
      </c>
      <c r="J55" t="s">
        <v>28</v>
      </c>
      <c r="K55" t="s">
        <v>124</v>
      </c>
      <c r="L55" t="s">
        <v>268</v>
      </c>
      <c r="M55" t="s">
        <v>50</v>
      </c>
      <c r="N55">
        <v>5</v>
      </c>
      <c r="O55">
        <v>1207.47</v>
      </c>
      <c r="P55">
        <v>0.15</v>
      </c>
      <c r="Q55">
        <v>5131.75</v>
      </c>
      <c r="R55">
        <v>2838.68</v>
      </c>
      <c r="S55">
        <v>2293.0700000000002</v>
      </c>
      <c r="T55" t="s">
        <v>32</v>
      </c>
      <c r="U55" t="s">
        <v>33</v>
      </c>
      <c r="V55">
        <f>IF(OR(B55="Invalid Date",C55="Invalid Date"),"Invalid Date",C55-B55)</f>
        <v>0</v>
      </c>
      <c r="W55" s="4" t="str">
        <f>IF(OR(B55="Invalid Date",C55="Invalid Date"),"Invalid Date",IF(C55&lt;B55,"Invalid Shipping","OK"))</f>
        <v>OK</v>
      </c>
      <c r="X55">
        <f t="shared" si="0"/>
        <v>1</v>
      </c>
      <c r="Y55">
        <f t="shared" si="1"/>
        <v>0.15</v>
      </c>
      <c r="Z55">
        <f t="shared" si="2"/>
        <v>5131.7475000000004</v>
      </c>
      <c r="AA55">
        <f t="shared" si="3"/>
        <v>2293.0675000000006</v>
      </c>
      <c r="AB55" s="6">
        <f t="shared" si="4"/>
        <v>0.44683950252813498</v>
      </c>
      <c r="AC55" t="str">
        <f t="shared" si="5"/>
        <v>March</v>
      </c>
      <c r="AD55">
        <f t="shared" si="6"/>
        <v>2025</v>
      </c>
      <c r="AE55" t="str">
        <f t="shared" si="7"/>
        <v>Clean</v>
      </c>
    </row>
    <row r="56" spans="1:31">
      <c r="A56" t="s">
        <v>269</v>
      </c>
      <c r="B56" s="3">
        <v>45807</v>
      </c>
      <c r="C56" s="3">
        <v>45810</v>
      </c>
      <c r="D56" t="s">
        <v>270</v>
      </c>
      <c r="E56" t="s">
        <v>53</v>
      </c>
      <c r="F56" t="s">
        <v>90</v>
      </c>
      <c r="G56" t="s">
        <v>54</v>
      </c>
      <c r="H56" t="s">
        <v>247</v>
      </c>
      <c r="I56" t="s">
        <v>248</v>
      </c>
      <c r="J56" t="s">
        <v>28</v>
      </c>
      <c r="K56" t="s">
        <v>91</v>
      </c>
      <c r="L56" t="s">
        <v>271</v>
      </c>
      <c r="M56" t="s">
        <v>44</v>
      </c>
      <c r="N56">
        <v>8</v>
      </c>
      <c r="O56">
        <v>474.37</v>
      </c>
      <c r="P56">
        <v>0.1</v>
      </c>
      <c r="Q56">
        <v>3415.46</v>
      </c>
      <c r="R56">
        <v>1993.23</v>
      </c>
      <c r="S56">
        <v>1422.23</v>
      </c>
      <c r="T56" t="s">
        <v>155</v>
      </c>
      <c r="U56" t="s">
        <v>68</v>
      </c>
      <c r="V56">
        <f>IF(OR(B56="Invalid Date",C56="Invalid Date"),"Invalid Date",C56-B56)</f>
        <v>3</v>
      </c>
      <c r="W56" s="4" t="str">
        <f>IF(OR(B56="Invalid Date",C56="Invalid Date"),"Invalid Date",IF(C56&lt;B56,"Invalid Shipping","OK"))</f>
        <v>OK</v>
      </c>
      <c r="X56">
        <f t="shared" si="0"/>
        <v>1</v>
      </c>
      <c r="Y56">
        <f t="shared" si="1"/>
        <v>0.1</v>
      </c>
      <c r="Z56">
        <f t="shared" si="2"/>
        <v>3415.4639999999999</v>
      </c>
      <c r="AA56">
        <f t="shared" si="3"/>
        <v>1422.2339999999999</v>
      </c>
      <c r="AB56" s="6">
        <f t="shared" si="4"/>
        <v>0.4164101861416194</v>
      </c>
      <c r="AC56" t="str">
        <f t="shared" si="5"/>
        <v>May</v>
      </c>
      <c r="AD56">
        <f t="shared" si="6"/>
        <v>2025</v>
      </c>
      <c r="AE56" t="str">
        <f t="shared" si="7"/>
        <v>Clean</v>
      </c>
    </row>
    <row r="57" spans="1:31">
      <c r="A57" t="s">
        <v>272</v>
      </c>
      <c r="B57" s="3">
        <v>45839</v>
      </c>
      <c r="C57" s="3">
        <v>45841</v>
      </c>
      <c r="D57" t="s">
        <v>273</v>
      </c>
      <c r="E57" t="s">
        <v>36</v>
      </c>
      <c r="F57" t="s">
        <v>37</v>
      </c>
      <c r="G57" t="s">
        <v>54</v>
      </c>
      <c r="H57" t="s">
        <v>84</v>
      </c>
      <c r="I57" t="s">
        <v>85</v>
      </c>
      <c r="J57" t="s">
        <v>74</v>
      </c>
      <c r="K57" t="s">
        <v>274</v>
      </c>
      <c r="L57" t="s">
        <v>275</v>
      </c>
      <c r="M57" t="s">
        <v>44</v>
      </c>
      <c r="N57">
        <v>3</v>
      </c>
      <c r="O57">
        <v>1516.24</v>
      </c>
      <c r="P57">
        <v>0.25</v>
      </c>
      <c r="Q57">
        <v>3411.54</v>
      </c>
      <c r="R57">
        <v>2803.13</v>
      </c>
      <c r="S57">
        <v>608.41</v>
      </c>
      <c r="T57" t="s">
        <v>32</v>
      </c>
      <c r="U57" t="s">
        <v>33</v>
      </c>
      <c r="V57">
        <f>IF(OR(B57="Invalid Date",C57="Invalid Date"),"Invalid Date",C57-B57)</f>
        <v>2</v>
      </c>
      <c r="W57" s="4" t="str">
        <f>IF(OR(B57="Invalid Date",C57="Invalid Date"),"Invalid Date",IF(C57&lt;B57,"Invalid Shipping","OK"))</f>
        <v>OK</v>
      </c>
      <c r="X57">
        <f t="shared" si="0"/>
        <v>1</v>
      </c>
      <c r="Y57">
        <f t="shared" si="1"/>
        <v>0.25</v>
      </c>
      <c r="Z57">
        <f t="shared" si="2"/>
        <v>3411.54</v>
      </c>
      <c r="AA57">
        <f t="shared" si="3"/>
        <v>608.40999999999985</v>
      </c>
      <c r="AB57" s="6">
        <f t="shared" si="4"/>
        <v>0.17833881472883209</v>
      </c>
      <c r="AC57" t="str">
        <f t="shared" si="5"/>
        <v>July</v>
      </c>
      <c r="AD57">
        <f t="shared" si="6"/>
        <v>2025</v>
      </c>
      <c r="AE57" t="str">
        <f t="shared" si="7"/>
        <v>Clean</v>
      </c>
    </row>
    <row r="58" spans="1:31">
      <c r="A58" t="s">
        <v>276</v>
      </c>
      <c r="B58" s="3">
        <v>45662</v>
      </c>
      <c r="C58" s="3">
        <v>45663</v>
      </c>
      <c r="D58" t="s">
        <v>277</v>
      </c>
      <c r="E58" t="s">
        <v>23</v>
      </c>
      <c r="F58" t="s">
        <v>24</v>
      </c>
      <c r="G58" t="s">
        <v>54</v>
      </c>
      <c r="H58" t="s">
        <v>175</v>
      </c>
      <c r="I58" t="s">
        <v>176</v>
      </c>
      <c r="J58" t="s">
        <v>28</v>
      </c>
      <c r="K58" t="s">
        <v>153</v>
      </c>
      <c r="L58" t="s">
        <v>278</v>
      </c>
      <c r="M58" t="s">
        <v>31</v>
      </c>
      <c r="N58">
        <v>3</v>
      </c>
      <c r="O58">
        <v>3155.61</v>
      </c>
      <c r="P58">
        <v>0</v>
      </c>
      <c r="Q58">
        <v>9466.83</v>
      </c>
      <c r="R58">
        <v>6557.83</v>
      </c>
      <c r="S58">
        <v>2909</v>
      </c>
      <c r="T58" t="s">
        <v>102</v>
      </c>
      <c r="U58" t="s">
        <v>68</v>
      </c>
      <c r="V58">
        <f>IF(OR(B58="Invalid Date",C58="Invalid Date"),"Invalid Date",C58-B58)</f>
        <v>1</v>
      </c>
      <c r="W58" s="4" t="str">
        <f>IF(OR(B58="Invalid Date",C58="Invalid Date"),"Invalid Date",IF(C58&lt;B58,"Invalid Shipping","OK"))</f>
        <v>OK</v>
      </c>
      <c r="X58">
        <f t="shared" si="0"/>
        <v>1</v>
      </c>
      <c r="Y58">
        <f t="shared" si="1"/>
        <v>0</v>
      </c>
      <c r="Z58">
        <f t="shared" si="2"/>
        <v>9466.83</v>
      </c>
      <c r="AA58">
        <f t="shared" si="3"/>
        <v>2909</v>
      </c>
      <c r="AB58" s="6">
        <f t="shared" si="4"/>
        <v>0.30728343067320318</v>
      </c>
      <c r="AC58" t="str">
        <f t="shared" si="5"/>
        <v>January</v>
      </c>
      <c r="AD58">
        <f t="shared" si="6"/>
        <v>2025</v>
      </c>
      <c r="AE58" t="str">
        <f t="shared" si="7"/>
        <v>Clean</v>
      </c>
    </row>
    <row r="59" spans="1:31">
      <c r="A59" t="s">
        <v>279</v>
      </c>
      <c r="B59" s="3">
        <v>45329</v>
      </c>
      <c r="C59" s="3">
        <v>45337</v>
      </c>
      <c r="D59" t="s">
        <v>280</v>
      </c>
      <c r="E59" t="s">
        <v>114</v>
      </c>
      <c r="F59" t="s">
        <v>24</v>
      </c>
      <c r="G59" t="s">
        <v>63</v>
      </c>
      <c r="H59" t="s">
        <v>190</v>
      </c>
      <c r="I59" t="s">
        <v>191</v>
      </c>
      <c r="J59" t="s">
        <v>41</v>
      </c>
      <c r="K59" t="s">
        <v>66</v>
      </c>
      <c r="L59" t="s">
        <v>281</v>
      </c>
      <c r="M59" t="s">
        <v>44</v>
      </c>
      <c r="N59">
        <v>5</v>
      </c>
      <c r="O59">
        <v>255.87</v>
      </c>
      <c r="P59">
        <v>0</v>
      </c>
      <c r="Q59">
        <v>1279.3499999999999</v>
      </c>
      <c r="R59">
        <v>1091.54</v>
      </c>
      <c r="S59">
        <v>187.81</v>
      </c>
      <c r="T59" t="s">
        <v>32</v>
      </c>
      <c r="U59" t="s">
        <v>33</v>
      </c>
      <c r="V59">
        <f>IF(OR(B59="Invalid Date",C59="Invalid Date"),"Invalid Date",C59-B59)</f>
        <v>8</v>
      </c>
      <c r="W59" s="4" t="str">
        <f>IF(OR(B59="Invalid Date",C59="Invalid Date"),"Invalid Date",IF(C59&lt;B59,"Invalid Shipping","OK"))</f>
        <v>OK</v>
      </c>
      <c r="X59">
        <f t="shared" si="0"/>
        <v>1</v>
      </c>
      <c r="Y59">
        <f t="shared" si="1"/>
        <v>0</v>
      </c>
      <c r="Z59">
        <f t="shared" si="2"/>
        <v>1279.3499999999999</v>
      </c>
      <c r="AA59">
        <f t="shared" si="3"/>
        <v>187.80999999999995</v>
      </c>
      <c r="AB59" s="6">
        <f t="shared" si="4"/>
        <v>0.14680110993864068</v>
      </c>
      <c r="AC59" t="str">
        <f t="shared" si="5"/>
        <v>February</v>
      </c>
      <c r="AD59">
        <f t="shared" si="6"/>
        <v>2024</v>
      </c>
      <c r="AE59" t="str">
        <f t="shared" si="7"/>
        <v>Clean</v>
      </c>
    </row>
    <row r="60" spans="1:31">
      <c r="A60" t="s">
        <v>282</v>
      </c>
      <c r="B60" s="3">
        <v>45536</v>
      </c>
      <c r="C60" s="3">
        <v>45542</v>
      </c>
      <c r="D60" t="s">
        <v>283</v>
      </c>
      <c r="E60" t="s">
        <v>47</v>
      </c>
      <c r="F60" t="s">
        <v>95</v>
      </c>
      <c r="G60" t="s">
        <v>25</v>
      </c>
      <c r="H60" t="s">
        <v>26</v>
      </c>
      <c r="I60" t="s">
        <v>27</v>
      </c>
      <c r="J60" t="s">
        <v>28</v>
      </c>
      <c r="K60" t="s">
        <v>124</v>
      </c>
      <c r="L60" t="s">
        <v>284</v>
      </c>
      <c r="M60" t="s">
        <v>2767</v>
      </c>
      <c r="N60">
        <v>9</v>
      </c>
      <c r="O60">
        <v>1389.48</v>
      </c>
      <c r="P60">
        <v>0.1</v>
      </c>
      <c r="Q60">
        <v>11254.79</v>
      </c>
      <c r="R60">
        <v>6578.06</v>
      </c>
      <c r="S60">
        <v>4676.7299999999996</v>
      </c>
      <c r="T60" t="s">
        <v>111</v>
      </c>
      <c r="U60" t="s">
        <v>103</v>
      </c>
      <c r="V60">
        <f>IF(OR(B60="Invalid Date",C60="Invalid Date"),"Invalid Date",C60-B60)</f>
        <v>6</v>
      </c>
      <c r="W60" s="4" t="str">
        <f>IF(OR(B60="Invalid Date",C60="Invalid Date"),"Invalid Date",IF(C60&lt;B60,"Invalid Shipping","OK"))</f>
        <v>OK</v>
      </c>
      <c r="X60">
        <f t="shared" si="0"/>
        <v>1</v>
      </c>
      <c r="Y60">
        <f t="shared" si="1"/>
        <v>0.1</v>
      </c>
      <c r="Z60">
        <f t="shared" si="2"/>
        <v>11254.788</v>
      </c>
      <c r="AA60">
        <f t="shared" si="3"/>
        <v>4676.7280000000001</v>
      </c>
      <c r="AB60" s="6">
        <f t="shared" si="4"/>
        <v>0.41553230500654476</v>
      </c>
      <c r="AC60" t="str">
        <f t="shared" si="5"/>
        <v>September</v>
      </c>
      <c r="AD60">
        <f t="shared" si="6"/>
        <v>2024</v>
      </c>
      <c r="AE60" t="str">
        <f t="shared" si="7"/>
        <v>Warning</v>
      </c>
    </row>
    <row r="61" spans="1:31">
      <c r="A61" t="s">
        <v>285</v>
      </c>
      <c r="B61" s="3">
        <v>45493</v>
      </c>
      <c r="C61" s="3">
        <v>45498</v>
      </c>
      <c r="D61" t="s">
        <v>286</v>
      </c>
      <c r="E61" t="s">
        <v>114</v>
      </c>
      <c r="F61" t="s">
        <v>90</v>
      </c>
      <c r="G61" t="s">
        <v>38</v>
      </c>
      <c r="H61" t="s">
        <v>166</v>
      </c>
      <c r="I61" t="s">
        <v>167</v>
      </c>
      <c r="J61" t="s">
        <v>28</v>
      </c>
      <c r="K61" t="s">
        <v>91</v>
      </c>
      <c r="L61" t="s">
        <v>287</v>
      </c>
      <c r="M61" t="s">
        <v>44</v>
      </c>
      <c r="N61">
        <v>5</v>
      </c>
      <c r="O61">
        <v>4133.8500000000004</v>
      </c>
      <c r="P61">
        <v>0.2</v>
      </c>
      <c r="Q61">
        <v>16535.400000000001</v>
      </c>
      <c r="R61">
        <v>12990.21</v>
      </c>
      <c r="S61">
        <v>3545.19</v>
      </c>
      <c r="T61" t="s">
        <v>32</v>
      </c>
      <c r="U61" t="s">
        <v>68</v>
      </c>
      <c r="V61">
        <f>IF(OR(B61="Invalid Date",C61="Invalid Date"),"Invalid Date",C61-B61)</f>
        <v>5</v>
      </c>
      <c r="W61" s="4" t="str">
        <f>IF(OR(B61="Invalid Date",C61="Invalid Date"),"Invalid Date",IF(C61&lt;B61,"Invalid Shipping","OK"))</f>
        <v>OK</v>
      </c>
      <c r="X61">
        <f t="shared" si="0"/>
        <v>1</v>
      </c>
      <c r="Y61">
        <f t="shared" si="1"/>
        <v>0.2</v>
      </c>
      <c r="Z61">
        <f t="shared" si="2"/>
        <v>16535.400000000001</v>
      </c>
      <c r="AA61">
        <f t="shared" si="3"/>
        <v>3545.1900000000023</v>
      </c>
      <c r="AB61" s="6">
        <f t="shared" si="4"/>
        <v>0.21440001451431487</v>
      </c>
      <c r="AC61" t="str">
        <f t="shared" si="5"/>
        <v>July</v>
      </c>
      <c r="AD61">
        <f t="shared" si="6"/>
        <v>2024</v>
      </c>
      <c r="AE61" t="str">
        <f t="shared" si="7"/>
        <v>Clean</v>
      </c>
    </row>
    <row r="62" spans="1:31">
      <c r="A62" t="s">
        <v>288</v>
      </c>
      <c r="B62" s="3" t="s">
        <v>2763</v>
      </c>
      <c r="C62" s="3">
        <v>45492</v>
      </c>
      <c r="D62" t="s">
        <v>289</v>
      </c>
      <c r="E62" t="s">
        <v>62</v>
      </c>
      <c r="F62" t="s">
        <v>90</v>
      </c>
      <c r="G62" t="s">
        <v>38</v>
      </c>
      <c r="H62" t="s">
        <v>166</v>
      </c>
      <c r="I62" t="s">
        <v>167</v>
      </c>
      <c r="J62" t="s">
        <v>28</v>
      </c>
      <c r="K62" t="s">
        <v>91</v>
      </c>
      <c r="L62" t="s">
        <v>290</v>
      </c>
      <c r="M62" t="s">
        <v>44</v>
      </c>
      <c r="N62">
        <v>3</v>
      </c>
      <c r="O62">
        <v>275.76</v>
      </c>
      <c r="P62">
        <v>0.2</v>
      </c>
      <c r="Q62">
        <v>661.82</v>
      </c>
      <c r="R62">
        <v>481.47</v>
      </c>
      <c r="S62">
        <v>180.35</v>
      </c>
      <c r="T62" t="s">
        <v>102</v>
      </c>
      <c r="U62" t="s">
        <v>68</v>
      </c>
      <c r="V62" t="str">
        <f>IF(OR(B62="Invalid Date",C62="Invalid Date"),"Invalid Date",C62-B62)</f>
        <v>Invalid Date</v>
      </c>
      <c r="W62" s="4" t="str">
        <f>IF(OR(B62="Invalid Date",C62="Invalid Date"),"Invalid Date",IF(C62&lt;B62,"Invalid Shipping","OK"))</f>
        <v>Invalid Date</v>
      </c>
      <c r="X62">
        <f t="shared" si="0"/>
        <v>1</v>
      </c>
      <c r="Y62">
        <f t="shared" si="1"/>
        <v>0.2</v>
      </c>
      <c r="Z62">
        <f t="shared" si="2"/>
        <v>661.82400000000007</v>
      </c>
      <c r="AA62">
        <f t="shared" si="3"/>
        <v>180.35400000000004</v>
      </c>
      <c r="AB62" s="6">
        <f t="shared" si="4"/>
        <v>0.27251051639106472</v>
      </c>
      <c r="AC62" t="str">
        <f t="shared" si="5"/>
        <v/>
      </c>
      <c r="AD62" t="str">
        <f t="shared" si="6"/>
        <v/>
      </c>
      <c r="AE62" t="str">
        <f t="shared" si="7"/>
        <v>Invalid</v>
      </c>
    </row>
    <row r="63" spans="1:31">
      <c r="A63" t="s">
        <v>291</v>
      </c>
      <c r="B63" s="3">
        <v>45398</v>
      </c>
      <c r="C63" s="3" t="s">
        <v>2763</v>
      </c>
      <c r="D63" t="s">
        <v>292</v>
      </c>
      <c r="E63" t="s">
        <v>71</v>
      </c>
      <c r="F63" t="s">
        <v>95</v>
      </c>
      <c r="G63" t="s">
        <v>38</v>
      </c>
      <c r="H63" t="s">
        <v>145</v>
      </c>
      <c r="I63" t="s">
        <v>146</v>
      </c>
      <c r="J63" t="s">
        <v>41</v>
      </c>
      <c r="K63" t="s">
        <v>158</v>
      </c>
      <c r="L63" t="s">
        <v>293</v>
      </c>
      <c r="M63" t="s">
        <v>59</v>
      </c>
      <c r="N63">
        <v>1</v>
      </c>
      <c r="O63">
        <v>949.59</v>
      </c>
      <c r="P63">
        <v>0</v>
      </c>
      <c r="Q63">
        <v>949.59</v>
      </c>
      <c r="R63">
        <v>751.25</v>
      </c>
      <c r="S63">
        <v>198.34</v>
      </c>
      <c r="T63" t="s">
        <v>32</v>
      </c>
      <c r="U63" t="s">
        <v>33</v>
      </c>
      <c r="V63" t="str">
        <f>IF(OR(B63="Invalid Date",C63="Invalid Date"),"Invalid Date",C63-B63)</f>
        <v>Invalid Date</v>
      </c>
      <c r="W63" s="4" t="str">
        <f>IF(OR(B63="Invalid Date",C63="Invalid Date"),"Invalid Date",IF(C63&lt;B63,"Invalid Shipping","OK"))</f>
        <v>Invalid Date</v>
      </c>
      <c r="X63">
        <f t="shared" si="0"/>
        <v>1</v>
      </c>
      <c r="Y63">
        <f t="shared" si="1"/>
        <v>0</v>
      </c>
      <c r="Z63">
        <f t="shared" si="2"/>
        <v>949.59</v>
      </c>
      <c r="AA63">
        <f t="shared" si="3"/>
        <v>198.34000000000003</v>
      </c>
      <c r="AB63" s="6">
        <f t="shared" si="4"/>
        <v>0.20886909087079689</v>
      </c>
      <c r="AC63" t="str">
        <f t="shared" si="5"/>
        <v>April</v>
      </c>
      <c r="AD63">
        <f t="shared" si="6"/>
        <v>2024</v>
      </c>
      <c r="AE63" t="str">
        <f t="shared" si="7"/>
        <v>Invalid</v>
      </c>
    </row>
    <row r="64" spans="1:31">
      <c r="A64" t="s">
        <v>294</v>
      </c>
      <c r="B64" s="3">
        <v>45595</v>
      </c>
      <c r="C64" s="3">
        <v>45598</v>
      </c>
      <c r="D64" t="s">
        <v>295</v>
      </c>
      <c r="E64" t="s">
        <v>132</v>
      </c>
      <c r="F64" t="s">
        <v>95</v>
      </c>
      <c r="G64" t="s">
        <v>25</v>
      </c>
      <c r="H64" t="s">
        <v>26</v>
      </c>
      <c r="I64" t="s">
        <v>27</v>
      </c>
      <c r="J64" t="s">
        <v>74</v>
      </c>
      <c r="K64" t="s">
        <v>171</v>
      </c>
      <c r="L64" t="s">
        <v>296</v>
      </c>
      <c r="M64" t="s">
        <v>59</v>
      </c>
      <c r="N64">
        <v>9</v>
      </c>
      <c r="O64">
        <v>3042.29</v>
      </c>
      <c r="P64">
        <v>0.2</v>
      </c>
      <c r="Q64">
        <v>21904.49</v>
      </c>
      <c r="R64">
        <v>13570.55</v>
      </c>
      <c r="S64">
        <v>8333.94</v>
      </c>
      <c r="T64" t="s">
        <v>32</v>
      </c>
      <c r="U64" t="s">
        <v>33</v>
      </c>
      <c r="V64">
        <f>IF(OR(B64="Invalid Date",C64="Invalid Date"),"Invalid Date",C64-B64)</f>
        <v>3</v>
      </c>
      <c r="W64" s="4" t="str">
        <f>IF(OR(B64="Invalid Date",C64="Invalid Date"),"Invalid Date",IF(C64&lt;B64,"Invalid Shipping","OK"))</f>
        <v>OK</v>
      </c>
      <c r="X64">
        <f t="shared" si="0"/>
        <v>1</v>
      </c>
      <c r="Y64">
        <f t="shared" si="1"/>
        <v>0.2</v>
      </c>
      <c r="Z64">
        <f t="shared" si="2"/>
        <v>21904.488000000001</v>
      </c>
      <c r="AA64">
        <f t="shared" si="3"/>
        <v>8333.9380000000019</v>
      </c>
      <c r="AB64" s="6">
        <f t="shared" si="4"/>
        <v>0.38046714445003244</v>
      </c>
      <c r="AC64" t="str">
        <f t="shared" si="5"/>
        <v>October</v>
      </c>
      <c r="AD64">
        <f t="shared" si="6"/>
        <v>2024</v>
      </c>
      <c r="AE64" t="str">
        <f t="shared" si="7"/>
        <v>Clean</v>
      </c>
    </row>
    <row r="65" spans="1:31">
      <c r="A65" t="s">
        <v>297</v>
      </c>
      <c r="B65" s="3">
        <v>45316</v>
      </c>
      <c r="C65" s="3">
        <v>45323</v>
      </c>
      <c r="D65" t="s">
        <v>298</v>
      </c>
      <c r="E65" t="s">
        <v>132</v>
      </c>
      <c r="F65" t="s">
        <v>95</v>
      </c>
      <c r="G65" t="s">
        <v>25</v>
      </c>
      <c r="H65" t="s">
        <v>236</v>
      </c>
      <c r="I65" t="s">
        <v>237</v>
      </c>
      <c r="J65" t="s">
        <v>28</v>
      </c>
      <c r="K65" t="s">
        <v>153</v>
      </c>
      <c r="L65" t="s">
        <v>299</v>
      </c>
      <c r="M65" t="s">
        <v>44</v>
      </c>
      <c r="N65">
        <v>2</v>
      </c>
      <c r="O65">
        <v>2832.77</v>
      </c>
      <c r="P65">
        <v>0.15</v>
      </c>
      <c r="Q65">
        <v>4815.71</v>
      </c>
      <c r="R65">
        <v>3027.75</v>
      </c>
      <c r="S65">
        <v>1917.47</v>
      </c>
      <c r="T65" t="s">
        <v>32</v>
      </c>
      <c r="U65" t="s">
        <v>33</v>
      </c>
      <c r="V65">
        <f>IF(OR(B65="Invalid Date",C65="Invalid Date"),"Invalid Date",C65-B65)</f>
        <v>7</v>
      </c>
      <c r="W65" s="4" t="str">
        <f>IF(OR(B65="Invalid Date",C65="Invalid Date"),"Invalid Date",IF(C65&lt;B65,"Invalid Shipping","OK"))</f>
        <v>OK</v>
      </c>
      <c r="X65">
        <f t="shared" si="0"/>
        <v>1</v>
      </c>
      <c r="Y65">
        <f t="shared" si="1"/>
        <v>0.15</v>
      </c>
      <c r="Z65">
        <f t="shared" si="2"/>
        <v>4815.7089999999998</v>
      </c>
      <c r="AA65">
        <f t="shared" si="3"/>
        <v>1787.9589999999998</v>
      </c>
      <c r="AB65" s="6">
        <f t="shared" si="4"/>
        <v>0.37127637903369992</v>
      </c>
      <c r="AC65" t="str">
        <f t="shared" si="5"/>
        <v>January</v>
      </c>
      <c r="AD65">
        <f t="shared" si="6"/>
        <v>2024</v>
      </c>
      <c r="AE65" t="str">
        <f t="shared" si="7"/>
        <v>Clean</v>
      </c>
    </row>
    <row r="66" spans="1:31">
      <c r="A66" t="s">
        <v>300</v>
      </c>
      <c r="B66" s="3">
        <v>45649</v>
      </c>
      <c r="C66" s="3" t="s">
        <v>2763</v>
      </c>
      <c r="D66" t="s">
        <v>301</v>
      </c>
      <c r="E66" t="s">
        <v>128</v>
      </c>
      <c r="F66" t="s">
        <v>90</v>
      </c>
      <c r="G66" t="s">
        <v>38</v>
      </c>
      <c r="H66" t="s">
        <v>228</v>
      </c>
      <c r="I66" t="s">
        <v>229</v>
      </c>
      <c r="J66" t="s">
        <v>28</v>
      </c>
      <c r="K66" t="s">
        <v>29</v>
      </c>
      <c r="L66" t="s">
        <v>302</v>
      </c>
      <c r="M66" t="s">
        <v>50</v>
      </c>
      <c r="N66">
        <v>7</v>
      </c>
      <c r="O66">
        <v>447.84</v>
      </c>
      <c r="P66">
        <v>0</v>
      </c>
      <c r="Q66">
        <v>3134.88</v>
      </c>
      <c r="R66">
        <v>2367.63</v>
      </c>
      <c r="S66">
        <v>767.25</v>
      </c>
      <c r="T66" t="s">
        <v>102</v>
      </c>
      <c r="U66" t="s">
        <v>103</v>
      </c>
      <c r="V66" t="str">
        <f>IF(OR(B66="Invalid Date",C66="Invalid Date"),"Invalid Date",C66-B66)</f>
        <v>Invalid Date</v>
      </c>
      <c r="W66" s="4" t="str">
        <f>IF(OR(B66="Invalid Date",C66="Invalid Date"),"Invalid Date",IF(C66&lt;B66,"Invalid Shipping","OK"))</f>
        <v>Invalid Date</v>
      </c>
      <c r="X66">
        <f t="shared" si="0"/>
        <v>1</v>
      </c>
      <c r="Y66">
        <f t="shared" si="1"/>
        <v>0</v>
      </c>
      <c r="Z66">
        <f t="shared" si="2"/>
        <v>3134.8799999999997</v>
      </c>
      <c r="AA66">
        <f t="shared" si="3"/>
        <v>767.24999999999955</v>
      </c>
      <c r="AB66" s="6">
        <f t="shared" si="4"/>
        <v>0.24474621038125849</v>
      </c>
      <c r="AC66" t="str">
        <f t="shared" si="5"/>
        <v>December</v>
      </c>
      <c r="AD66">
        <f t="shared" si="6"/>
        <v>2024</v>
      </c>
      <c r="AE66" t="str">
        <f t="shared" si="7"/>
        <v>Invalid</v>
      </c>
    </row>
    <row r="67" spans="1:31">
      <c r="A67" t="s">
        <v>303</v>
      </c>
      <c r="B67" s="3">
        <v>45404</v>
      </c>
      <c r="C67" s="3">
        <v>45409</v>
      </c>
      <c r="D67" t="s">
        <v>304</v>
      </c>
      <c r="E67" t="s">
        <v>36</v>
      </c>
      <c r="F67" t="s">
        <v>95</v>
      </c>
      <c r="G67" t="s">
        <v>63</v>
      </c>
      <c r="H67" t="s">
        <v>64</v>
      </c>
      <c r="I67" t="s">
        <v>65</v>
      </c>
      <c r="J67" t="s">
        <v>28</v>
      </c>
      <c r="K67" t="s">
        <v>29</v>
      </c>
      <c r="L67" t="s">
        <v>305</v>
      </c>
      <c r="M67" t="s">
        <v>31</v>
      </c>
      <c r="N67">
        <v>1</v>
      </c>
      <c r="O67">
        <v>4280.1899999999996</v>
      </c>
      <c r="P67">
        <v>0.05</v>
      </c>
      <c r="Q67">
        <v>4066.18</v>
      </c>
      <c r="R67">
        <v>2628.92</v>
      </c>
      <c r="S67">
        <v>1437.26</v>
      </c>
      <c r="T67" t="s">
        <v>32</v>
      </c>
      <c r="U67" t="s">
        <v>33</v>
      </c>
      <c r="V67">
        <f>IF(OR(B67="Invalid Date",C67="Invalid Date"),"Invalid Date",C67-B67)</f>
        <v>5</v>
      </c>
      <c r="W67" s="4" t="str">
        <f>IF(OR(B67="Invalid Date",C67="Invalid Date"),"Invalid Date",IF(C67&lt;B67,"Invalid Shipping","OK"))</f>
        <v>OK</v>
      </c>
      <c r="X67">
        <f t="shared" ref="X67:X130" si="8">COUNTIF($A:$A,A67)</f>
        <v>1</v>
      </c>
      <c r="Y67">
        <f t="shared" ref="Y67:Y130" si="9">IF(P67="",0,IF(OR(P67&lt;0,P67&gt;1),"Invalid",P67))</f>
        <v>0.05</v>
      </c>
      <c r="Z67">
        <f t="shared" ref="Z67:Z130" si="10">IF(ISTEXT(Y67),"",N67*O67*(1-Y67))</f>
        <v>4066.1804999999995</v>
      </c>
      <c r="AA67">
        <f t="shared" ref="AA67:AA130" si="11">IF(Z67="","",Z67-R67)</f>
        <v>1437.2604999999994</v>
      </c>
      <c r="AB67" s="6">
        <f t="shared" ref="AB67:AB130" si="12">IF(OR(Z67="",Z67=0),"",AA67/Z67)</f>
        <v>0.35346696980126674</v>
      </c>
      <c r="AC67" t="str">
        <f t="shared" ref="AC67:AC130" si="13">IF(ISNUMBER(B67),TEXT(B67,"mmmm"),"")</f>
        <v>April</v>
      </c>
      <c r="AD67">
        <f t="shared" ref="AD67:AD130" si="14">IF(ISNUMBER(B67),YEAR(B67),"")</f>
        <v>2024</v>
      </c>
      <c r="AE67" t="str">
        <f t="shared" ref="AE67:AE130" si="15">IF(OR(B67="Invalid Date",C67="Invalid Date",W67="Invalid Date",W67="Invalid Shipping",Y67="Invalid"),"Invalid",IF(OR(G67="Unknown",M67="Unknown"),"Warning","Clean"))</f>
        <v>Clean</v>
      </c>
    </row>
    <row r="68" spans="1:31">
      <c r="A68" t="s">
        <v>306</v>
      </c>
      <c r="B68" s="3" t="s">
        <v>2763</v>
      </c>
      <c r="C68" s="3">
        <v>45901</v>
      </c>
      <c r="D68" t="s">
        <v>307</v>
      </c>
      <c r="E68" t="s">
        <v>23</v>
      </c>
      <c r="F68" t="s">
        <v>37</v>
      </c>
      <c r="G68" t="s">
        <v>54</v>
      </c>
      <c r="H68" t="s">
        <v>247</v>
      </c>
      <c r="I68" t="s">
        <v>248</v>
      </c>
      <c r="J68" t="s">
        <v>74</v>
      </c>
      <c r="K68" t="s">
        <v>75</v>
      </c>
      <c r="L68" t="s">
        <v>308</v>
      </c>
      <c r="M68" t="s">
        <v>44</v>
      </c>
      <c r="N68">
        <v>7</v>
      </c>
      <c r="O68">
        <v>1057.46</v>
      </c>
      <c r="P68">
        <v>0.05</v>
      </c>
      <c r="Q68">
        <v>7032.11</v>
      </c>
      <c r="R68">
        <v>4610.34</v>
      </c>
      <c r="S68">
        <v>2421.77</v>
      </c>
      <c r="T68" t="s">
        <v>32</v>
      </c>
      <c r="U68" t="s">
        <v>33</v>
      </c>
      <c r="V68" t="str">
        <f>IF(OR(B68="Invalid Date",C68="Invalid Date"),"Invalid Date",C68-B68)</f>
        <v>Invalid Date</v>
      </c>
      <c r="W68" s="4" t="str">
        <f>IF(OR(B68="Invalid Date",C68="Invalid Date"),"Invalid Date",IF(C68&lt;B68,"Invalid Shipping","OK"))</f>
        <v>Invalid Date</v>
      </c>
      <c r="X68">
        <f t="shared" si="8"/>
        <v>1</v>
      </c>
      <c r="Y68">
        <f t="shared" si="9"/>
        <v>0.05</v>
      </c>
      <c r="Z68">
        <f t="shared" si="10"/>
        <v>7032.1089999999995</v>
      </c>
      <c r="AA68">
        <f t="shared" si="11"/>
        <v>2421.7689999999993</v>
      </c>
      <c r="AB68" s="6">
        <f t="shared" si="12"/>
        <v>0.34438729547565311</v>
      </c>
      <c r="AC68" t="str">
        <f t="shared" si="13"/>
        <v/>
      </c>
      <c r="AD68" t="str">
        <f t="shared" si="14"/>
        <v/>
      </c>
      <c r="AE68" t="str">
        <f t="shared" si="15"/>
        <v>Invalid</v>
      </c>
    </row>
    <row r="69" spans="1:31">
      <c r="A69" t="s">
        <v>309</v>
      </c>
      <c r="B69" s="3">
        <v>45691</v>
      </c>
      <c r="C69" s="3">
        <v>45695</v>
      </c>
      <c r="D69" t="s">
        <v>310</v>
      </c>
      <c r="E69" t="s">
        <v>264</v>
      </c>
      <c r="F69" t="s">
        <v>24</v>
      </c>
      <c r="G69" t="s">
        <v>25</v>
      </c>
      <c r="H69" t="s">
        <v>236</v>
      </c>
      <c r="I69" t="s">
        <v>237</v>
      </c>
      <c r="J69" t="s">
        <v>28</v>
      </c>
      <c r="K69" t="s">
        <v>29</v>
      </c>
      <c r="L69" t="s">
        <v>311</v>
      </c>
      <c r="M69" t="s">
        <v>50</v>
      </c>
      <c r="N69">
        <v>7</v>
      </c>
      <c r="O69">
        <v>3609.34</v>
      </c>
      <c r="P69">
        <v>0.05</v>
      </c>
      <c r="Q69">
        <v>24002.11</v>
      </c>
      <c r="R69">
        <v>18707.57</v>
      </c>
      <c r="S69">
        <v>5294.54</v>
      </c>
      <c r="T69" t="s">
        <v>32</v>
      </c>
      <c r="U69" t="s">
        <v>33</v>
      </c>
      <c r="V69">
        <f>IF(OR(B69="Invalid Date",C69="Invalid Date"),"Invalid Date",C69-B69)</f>
        <v>4</v>
      </c>
      <c r="W69" s="4" t="str">
        <f>IF(OR(B69="Invalid Date",C69="Invalid Date"),"Invalid Date",IF(C69&lt;B69,"Invalid Shipping","OK"))</f>
        <v>OK</v>
      </c>
      <c r="X69">
        <f t="shared" si="8"/>
        <v>1</v>
      </c>
      <c r="Y69">
        <f t="shared" si="9"/>
        <v>0.05</v>
      </c>
      <c r="Z69">
        <f t="shared" si="10"/>
        <v>24002.111000000001</v>
      </c>
      <c r="AA69">
        <f t="shared" si="11"/>
        <v>5294.5410000000011</v>
      </c>
      <c r="AB69" s="6">
        <f t="shared" si="12"/>
        <v>0.2205864725815159</v>
      </c>
      <c r="AC69" t="str">
        <f t="shared" si="13"/>
        <v>February</v>
      </c>
      <c r="AD69">
        <f t="shared" si="14"/>
        <v>2025</v>
      </c>
      <c r="AE69" t="str">
        <f t="shared" si="15"/>
        <v>Clean</v>
      </c>
    </row>
    <row r="70" spans="1:31">
      <c r="A70" t="s">
        <v>312</v>
      </c>
      <c r="B70" s="3">
        <v>45576</v>
      </c>
      <c r="C70" s="3">
        <v>45609</v>
      </c>
      <c r="D70" t="s">
        <v>313</v>
      </c>
      <c r="E70" t="s">
        <v>47</v>
      </c>
      <c r="F70" t="s">
        <v>90</v>
      </c>
      <c r="G70" t="s">
        <v>38</v>
      </c>
      <c r="H70" t="s">
        <v>228</v>
      </c>
      <c r="I70" t="s">
        <v>229</v>
      </c>
      <c r="J70" t="s">
        <v>28</v>
      </c>
      <c r="K70" t="s">
        <v>124</v>
      </c>
      <c r="L70" t="s">
        <v>314</v>
      </c>
      <c r="M70" t="s">
        <v>31</v>
      </c>
      <c r="N70">
        <v>9</v>
      </c>
      <c r="O70">
        <v>2211.12</v>
      </c>
      <c r="P70">
        <v>0</v>
      </c>
      <c r="Q70">
        <v>19900.080000000002</v>
      </c>
      <c r="R70">
        <v>10962.66</v>
      </c>
      <c r="S70">
        <v>8937.42</v>
      </c>
      <c r="T70" t="s">
        <v>155</v>
      </c>
      <c r="U70" t="s">
        <v>103</v>
      </c>
      <c r="V70">
        <f>IF(OR(B70="Invalid Date",C70="Invalid Date"),"Invalid Date",C70-B70)</f>
        <v>33</v>
      </c>
      <c r="W70" s="4" t="str">
        <f>IF(OR(B70="Invalid Date",C70="Invalid Date"),"Invalid Date",IF(C70&lt;B70,"Invalid Shipping","OK"))</f>
        <v>OK</v>
      </c>
      <c r="X70">
        <f t="shared" si="8"/>
        <v>1</v>
      </c>
      <c r="Y70">
        <f t="shared" si="9"/>
        <v>0</v>
      </c>
      <c r="Z70">
        <f t="shared" si="10"/>
        <v>19900.079999999998</v>
      </c>
      <c r="AA70">
        <f t="shared" si="11"/>
        <v>8937.4199999999983</v>
      </c>
      <c r="AB70" s="6">
        <f t="shared" si="12"/>
        <v>0.44911477742803041</v>
      </c>
      <c r="AC70" t="str">
        <f t="shared" si="13"/>
        <v>October</v>
      </c>
      <c r="AD70">
        <f t="shared" si="14"/>
        <v>2024</v>
      </c>
      <c r="AE70" t="str">
        <f t="shared" si="15"/>
        <v>Clean</v>
      </c>
    </row>
    <row r="71" spans="1:31">
      <c r="A71" t="s">
        <v>315</v>
      </c>
      <c r="B71" s="3">
        <v>45391</v>
      </c>
      <c r="C71" s="3" t="s">
        <v>2763</v>
      </c>
      <c r="D71" t="s">
        <v>316</v>
      </c>
      <c r="E71" t="s">
        <v>79</v>
      </c>
      <c r="F71" t="s">
        <v>37</v>
      </c>
      <c r="G71" t="s">
        <v>63</v>
      </c>
      <c r="H71" t="s">
        <v>180</v>
      </c>
      <c r="I71" t="s">
        <v>181</v>
      </c>
      <c r="J71" t="s">
        <v>74</v>
      </c>
      <c r="K71" t="s">
        <v>274</v>
      </c>
      <c r="L71" t="s">
        <v>317</v>
      </c>
      <c r="M71" t="s">
        <v>44</v>
      </c>
      <c r="N71">
        <v>7</v>
      </c>
      <c r="O71">
        <v>3417.09</v>
      </c>
      <c r="P71">
        <v>0.1</v>
      </c>
      <c r="Q71">
        <v>21527.67</v>
      </c>
      <c r="R71">
        <v>18287.580000000002</v>
      </c>
      <c r="S71">
        <v>3240.09</v>
      </c>
      <c r="T71" t="s">
        <v>102</v>
      </c>
      <c r="U71" t="s">
        <v>103</v>
      </c>
      <c r="V71" t="str">
        <f>IF(OR(B71="Invalid Date",C71="Invalid Date"),"Invalid Date",C71-B71)</f>
        <v>Invalid Date</v>
      </c>
      <c r="W71" s="4" t="str">
        <f>IF(OR(B71="Invalid Date",C71="Invalid Date"),"Invalid Date",IF(C71&lt;B71,"Invalid Shipping","OK"))</f>
        <v>Invalid Date</v>
      </c>
      <c r="X71">
        <f t="shared" si="8"/>
        <v>1</v>
      </c>
      <c r="Y71">
        <f t="shared" si="9"/>
        <v>0.1</v>
      </c>
      <c r="Z71">
        <f t="shared" si="10"/>
        <v>21527.667000000001</v>
      </c>
      <c r="AA71">
        <f t="shared" si="11"/>
        <v>3240.0869999999995</v>
      </c>
      <c r="AB71" s="6">
        <f t="shared" si="12"/>
        <v>0.15050804158202555</v>
      </c>
      <c r="AC71" t="str">
        <f t="shared" si="13"/>
        <v>April</v>
      </c>
      <c r="AD71">
        <f t="shared" si="14"/>
        <v>2024</v>
      </c>
      <c r="AE71" t="str">
        <f t="shared" si="15"/>
        <v>Invalid</v>
      </c>
    </row>
    <row r="72" spans="1:31">
      <c r="A72" t="s">
        <v>318</v>
      </c>
      <c r="B72" s="3">
        <v>45891</v>
      </c>
      <c r="C72" s="3">
        <v>45896</v>
      </c>
      <c r="D72" t="s">
        <v>319</v>
      </c>
      <c r="E72" t="s">
        <v>23</v>
      </c>
      <c r="F72" t="s">
        <v>90</v>
      </c>
      <c r="G72" t="s">
        <v>54</v>
      </c>
      <c r="H72" t="s">
        <v>84</v>
      </c>
      <c r="I72" t="s">
        <v>85</v>
      </c>
      <c r="J72" t="s">
        <v>74</v>
      </c>
      <c r="K72" t="s">
        <v>171</v>
      </c>
      <c r="L72" t="s">
        <v>320</v>
      </c>
      <c r="M72" t="s">
        <v>50</v>
      </c>
      <c r="N72">
        <v>2</v>
      </c>
      <c r="O72">
        <v>905.87</v>
      </c>
      <c r="P72">
        <v>0.15</v>
      </c>
      <c r="Q72">
        <v>1539.98</v>
      </c>
      <c r="R72">
        <v>1070.2</v>
      </c>
      <c r="S72">
        <v>469.78</v>
      </c>
      <c r="T72" t="s">
        <v>32</v>
      </c>
      <c r="U72" t="s">
        <v>33</v>
      </c>
      <c r="V72">
        <f>IF(OR(B72="Invalid Date",C72="Invalid Date"),"Invalid Date",C72-B72)</f>
        <v>5</v>
      </c>
      <c r="W72" s="4" t="str">
        <f>IF(OR(B72="Invalid Date",C72="Invalid Date"),"Invalid Date",IF(C72&lt;B72,"Invalid Shipping","OK"))</f>
        <v>OK</v>
      </c>
      <c r="X72">
        <f t="shared" si="8"/>
        <v>1</v>
      </c>
      <c r="Y72">
        <f t="shared" si="9"/>
        <v>0.15</v>
      </c>
      <c r="Z72">
        <f t="shared" si="10"/>
        <v>1539.979</v>
      </c>
      <c r="AA72">
        <f t="shared" si="11"/>
        <v>469.779</v>
      </c>
      <c r="AB72" s="6">
        <f t="shared" si="12"/>
        <v>0.30505545854846072</v>
      </c>
      <c r="AC72" t="str">
        <f t="shared" si="13"/>
        <v>August</v>
      </c>
      <c r="AD72">
        <f t="shared" si="14"/>
        <v>2025</v>
      </c>
      <c r="AE72" t="str">
        <f t="shared" si="15"/>
        <v>Clean</v>
      </c>
    </row>
    <row r="73" spans="1:31">
      <c r="A73" t="s">
        <v>321</v>
      </c>
      <c r="B73" s="3" t="s">
        <v>2763</v>
      </c>
      <c r="C73" s="3">
        <v>45770</v>
      </c>
      <c r="D73" t="s">
        <v>322</v>
      </c>
      <c r="E73" t="s">
        <v>36</v>
      </c>
      <c r="F73" t="s">
        <v>37</v>
      </c>
      <c r="G73" t="s">
        <v>63</v>
      </c>
      <c r="H73" t="s">
        <v>190</v>
      </c>
      <c r="I73" t="s">
        <v>191</v>
      </c>
      <c r="J73" t="s">
        <v>74</v>
      </c>
      <c r="K73" t="s">
        <v>274</v>
      </c>
      <c r="L73" t="s">
        <v>323</v>
      </c>
      <c r="M73" t="s">
        <v>59</v>
      </c>
      <c r="N73">
        <v>6</v>
      </c>
      <c r="O73">
        <v>2027.32</v>
      </c>
      <c r="P73">
        <v>0.1</v>
      </c>
      <c r="Q73">
        <v>10947.53</v>
      </c>
      <c r="R73">
        <v>6447.36</v>
      </c>
      <c r="S73">
        <v>4500.17</v>
      </c>
      <c r="T73" t="s">
        <v>32</v>
      </c>
      <c r="U73" t="s">
        <v>33</v>
      </c>
      <c r="V73" t="str">
        <f>IF(OR(B73="Invalid Date",C73="Invalid Date"),"Invalid Date",C73-B73)</f>
        <v>Invalid Date</v>
      </c>
      <c r="W73" s="4" t="str">
        <f>IF(OR(B73="Invalid Date",C73="Invalid Date"),"Invalid Date",IF(C73&lt;B73,"Invalid Shipping","OK"))</f>
        <v>Invalid Date</v>
      </c>
      <c r="X73">
        <f t="shared" si="8"/>
        <v>1</v>
      </c>
      <c r="Y73">
        <f t="shared" si="9"/>
        <v>0.1</v>
      </c>
      <c r="Z73">
        <f t="shared" si="10"/>
        <v>10947.528</v>
      </c>
      <c r="AA73">
        <f t="shared" si="11"/>
        <v>4500.1680000000006</v>
      </c>
      <c r="AB73" s="6">
        <f t="shared" si="12"/>
        <v>0.41106704636882413</v>
      </c>
      <c r="AC73" t="str">
        <f t="shared" si="13"/>
        <v/>
      </c>
      <c r="AD73" t="str">
        <f t="shared" si="14"/>
        <v/>
      </c>
      <c r="AE73" t="str">
        <f t="shared" si="15"/>
        <v>Invalid</v>
      </c>
    </row>
    <row r="74" spans="1:31">
      <c r="A74" t="s">
        <v>324</v>
      </c>
      <c r="B74" s="3">
        <v>45333</v>
      </c>
      <c r="C74" s="3">
        <v>45329</v>
      </c>
      <c r="D74" t="s">
        <v>325</v>
      </c>
      <c r="E74" t="s">
        <v>23</v>
      </c>
      <c r="F74" t="s">
        <v>95</v>
      </c>
      <c r="G74" t="s">
        <v>54</v>
      </c>
      <c r="H74" t="s">
        <v>247</v>
      </c>
      <c r="I74" t="s">
        <v>248</v>
      </c>
      <c r="J74" t="s">
        <v>41</v>
      </c>
      <c r="K74" t="s">
        <v>42</v>
      </c>
      <c r="L74" t="s">
        <v>326</v>
      </c>
      <c r="M74" t="s">
        <v>50</v>
      </c>
      <c r="N74">
        <v>7</v>
      </c>
      <c r="O74">
        <v>2287.4699999999998</v>
      </c>
      <c r="P74">
        <v>0.15</v>
      </c>
      <c r="Q74">
        <v>13610.45</v>
      </c>
      <c r="R74">
        <v>10039.049999999999</v>
      </c>
      <c r="S74">
        <v>3571.4</v>
      </c>
      <c r="T74" t="s">
        <v>32</v>
      </c>
      <c r="U74" t="s">
        <v>33</v>
      </c>
      <c r="V74">
        <f>IF(OR(B74="Invalid Date",C74="Invalid Date"),"Invalid Date",C74-B74)</f>
        <v>-4</v>
      </c>
      <c r="W74" s="4" t="str">
        <f>IF(OR(B74="Invalid Date",C74="Invalid Date"),"Invalid Date",IF(C74&lt;B74,"Invalid Shipping","OK"))</f>
        <v>Invalid Shipping</v>
      </c>
      <c r="X74">
        <f t="shared" si="8"/>
        <v>1</v>
      </c>
      <c r="Y74">
        <f t="shared" si="9"/>
        <v>0.15</v>
      </c>
      <c r="Z74">
        <f t="shared" si="10"/>
        <v>13610.446499999998</v>
      </c>
      <c r="AA74">
        <f t="shared" si="11"/>
        <v>3571.3964999999989</v>
      </c>
      <c r="AB74" s="6">
        <f t="shared" si="12"/>
        <v>0.26240112695788487</v>
      </c>
      <c r="AC74" t="str">
        <f t="shared" si="13"/>
        <v>February</v>
      </c>
      <c r="AD74">
        <f t="shared" si="14"/>
        <v>2024</v>
      </c>
      <c r="AE74" t="str">
        <f t="shared" si="15"/>
        <v>Invalid</v>
      </c>
    </row>
    <row r="75" spans="1:31">
      <c r="A75" t="s">
        <v>327</v>
      </c>
      <c r="B75" s="3">
        <v>45745</v>
      </c>
      <c r="C75" s="3">
        <v>45720</v>
      </c>
      <c r="D75" t="s">
        <v>328</v>
      </c>
      <c r="E75" t="s">
        <v>132</v>
      </c>
      <c r="F75" t="s">
        <v>90</v>
      </c>
      <c r="G75" t="s">
        <v>38</v>
      </c>
      <c r="H75" t="s">
        <v>99</v>
      </c>
      <c r="I75" t="s">
        <v>100</v>
      </c>
      <c r="J75" t="s">
        <v>41</v>
      </c>
      <c r="K75" t="s">
        <v>158</v>
      </c>
      <c r="L75" t="s">
        <v>329</v>
      </c>
      <c r="M75" t="s">
        <v>50</v>
      </c>
      <c r="N75">
        <v>5</v>
      </c>
      <c r="O75">
        <v>1425.74</v>
      </c>
      <c r="P75">
        <v>0</v>
      </c>
      <c r="Q75">
        <v>7128.7</v>
      </c>
      <c r="R75">
        <v>4382.1499999999996</v>
      </c>
      <c r="S75">
        <v>2746.55</v>
      </c>
      <c r="T75" t="s">
        <v>32</v>
      </c>
      <c r="U75" t="s">
        <v>33</v>
      </c>
      <c r="V75">
        <f>IF(OR(B75="Invalid Date",C75="Invalid Date"),"Invalid Date",C75-B75)</f>
        <v>-25</v>
      </c>
      <c r="W75" s="4" t="str">
        <f>IF(OR(B75="Invalid Date",C75="Invalid Date"),"Invalid Date",IF(C75&lt;B75,"Invalid Shipping","OK"))</f>
        <v>Invalid Shipping</v>
      </c>
      <c r="X75">
        <f t="shared" si="8"/>
        <v>1</v>
      </c>
      <c r="Y75">
        <f t="shared" si="9"/>
        <v>0</v>
      </c>
      <c r="Z75">
        <f t="shared" si="10"/>
        <v>7128.7</v>
      </c>
      <c r="AA75">
        <f t="shared" si="11"/>
        <v>2746.55</v>
      </c>
      <c r="AB75" s="6">
        <f t="shared" si="12"/>
        <v>0.38528062620113068</v>
      </c>
      <c r="AC75" t="str">
        <f t="shared" si="13"/>
        <v>March</v>
      </c>
      <c r="AD75">
        <f t="shared" si="14"/>
        <v>2025</v>
      </c>
      <c r="AE75" t="str">
        <f t="shared" si="15"/>
        <v>Invalid</v>
      </c>
    </row>
    <row r="76" spans="1:31">
      <c r="A76" t="s">
        <v>330</v>
      </c>
      <c r="B76" s="3" t="s">
        <v>2763</v>
      </c>
      <c r="C76" s="3">
        <v>45717</v>
      </c>
      <c r="D76" t="s">
        <v>331</v>
      </c>
      <c r="E76" t="s">
        <v>71</v>
      </c>
      <c r="F76" t="s">
        <v>37</v>
      </c>
      <c r="G76" t="s">
        <v>38</v>
      </c>
      <c r="H76" t="s">
        <v>99</v>
      </c>
      <c r="I76" t="s">
        <v>100</v>
      </c>
      <c r="J76" t="s">
        <v>41</v>
      </c>
      <c r="K76" t="s">
        <v>66</v>
      </c>
      <c r="L76" t="s">
        <v>332</v>
      </c>
      <c r="M76" t="s">
        <v>59</v>
      </c>
      <c r="N76">
        <v>6</v>
      </c>
      <c r="O76">
        <v>551.64</v>
      </c>
      <c r="P76">
        <v>0</v>
      </c>
      <c r="Q76">
        <v>3309.84</v>
      </c>
      <c r="R76">
        <v>2671.08</v>
      </c>
      <c r="S76">
        <v>638.76</v>
      </c>
      <c r="T76" t="s">
        <v>32</v>
      </c>
      <c r="U76" t="s">
        <v>33</v>
      </c>
      <c r="V76" t="str">
        <f>IF(OR(B76="Invalid Date",C76="Invalid Date"),"Invalid Date",C76-B76)</f>
        <v>Invalid Date</v>
      </c>
      <c r="W76" s="4" t="str">
        <f>IF(OR(B76="Invalid Date",C76="Invalid Date"),"Invalid Date",IF(C76&lt;B76,"Invalid Shipping","OK"))</f>
        <v>Invalid Date</v>
      </c>
      <c r="X76">
        <f t="shared" si="8"/>
        <v>1</v>
      </c>
      <c r="Y76">
        <f t="shared" si="9"/>
        <v>0</v>
      </c>
      <c r="Z76">
        <f t="shared" si="10"/>
        <v>3309.84</v>
      </c>
      <c r="AA76">
        <f t="shared" si="11"/>
        <v>638.76000000000022</v>
      </c>
      <c r="AB76" s="6">
        <f t="shared" si="12"/>
        <v>0.19298818069755644</v>
      </c>
      <c r="AC76" t="str">
        <f t="shared" si="13"/>
        <v/>
      </c>
      <c r="AD76" t="str">
        <f t="shared" si="14"/>
        <v/>
      </c>
      <c r="AE76" t="str">
        <f t="shared" si="15"/>
        <v>Invalid</v>
      </c>
    </row>
    <row r="77" spans="1:31">
      <c r="A77" t="s">
        <v>333</v>
      </c>
      <c r="B77" s="3">
        <v>45891</v>
      </c>
      <c r="C77" s="3" t="s">
        <v>2763</v>
      </c>
      <c r="D77" t="s">
        <v>334</v>
      </c>
      <c r="E77" t="s">
        <v>114</v>
      </c>
      <c r="F77" t="s">
        <v>37</v>
      </c>
      <c r="G77" t="s">
        <v>38</v>
      </c>
      <c r="H77" t="s">
        <v>39</v>
      </c>
      <c r="I77" t="s">
        <v>40</v>
      </c>
      <c r="J77" t="s">
        <v>28</v>
      </c>
      <c r="K77" t="s">
        <v>91</v>
      </c>
      <c r="L77" t="s">
        <v>335</v>
      </c>
      <c r="M77" t="s">
        <v>50</v>
      </c>
      <c r="N77">
        <v>3</v>
      </c>
      <c r="O77">
        <v>3294.82</v>
      </c>
      <c r="P77">
        <v>0.2</v>
      </c>
      <c r="Q77">
        <v>7907.57</v>
      </c>
      <c r="R77">
        <v>5391.18</v>
      </c>
      <c r="S77">
        <v>2516.39</v>
      </c>
      <c r="T77" t="s">
        <v>32</v>
      </c>
      <c r="U77" t="s">
        <v>33</v>
      </c>
      <c r="V77" t="str">
        <f>IF(OR(B77="Invalid Date",C77="Invalid Date"),"Invalid Date",C77-B77)</f>
        <v>Invalid Date</v>
      </c>
      <c r="W77" s="4" t="str">
        <f>IF(OR(B77="Invalid Date",C77="Invalid Date"),"Invalid Date",IF(C77&lt;B77,"Invalid Shipping","OK"))</f>
        <v>Invalid Date</v>
      </c>
      <c r="X77">
        <f t="shared" si="8"/>
        <v>1</v>
      </c>
      <c r="Y77">
        <f t="shared" si="9"/>
        <v>0.2</v>
      </c>
      <c r="Z77">
        <f t="shared" si="10"/>
        <v>7907.5680000000011</v>
      </c>
      <c r="AA77">
        <f t="shared" si="11"/>
        <v>2516.3880000000008</v>
      </c>
      <c r="AB77" s="6">
        <f t="shared" si="12"/>
        <v>0.31822527482533197</v>
      </c>
      <c r="AC77" t="str">
        <f t="shared" si="13"/>
        <v>August</v>
      </c>
      <c r="AD77">
        <f t="shared" si="14"/>
        <v>2025</v>
      </c>
      <c r="AE77" t="str">
        <f t="shared" si="15"/>
        <v>Invalid</v>
      </c>
    </row>
    <row r="78" spans="1:31">
      <c r="A78" t="s">
        <v>336</v>
      </c>
      <c r="B78" s="3">
        <v>45599</v>
      </c>
      <c r="C78" s="3">
        <v>45607</v>
      </c>
      <c r="D78" t="s">
        <v>337</v>
      </c>
      <c r="E78" t="s">
        <v>62</v>
      </c>
      <c r="F78" t="s">
        <v>90</v>
      </c>
      <c r="G78" t="s">
        <v>38</v>
      </c>
      <c r="H78" t="s">
        <v>228</v>
      </c>
      <c r="I78" t="s">
        <v>229</v>
      </c>
      <c r="J78" t="s">
        <v>28</v>
      </c>
      <c r="K78" t="s">
        <v>91</v>
      </c>
      <c r="L78" t="s">
        <v>338</v>
      </c>
      <c r="M78" t="s">
        <v>31</v>
      </c>
      <c r="N78">
        <v>3</v>
      </c>
      <c r="O78">
        <v>3406.27</v>
      </c>
      <c r="P78">
        <v>0</v>
      </c>
      <c r="Q78">
        <v>10218.81</v>
      </c>
      <c r="R78">
        <v>7616.97</v>
      </c>
      <c r="S78">
        <v>2601.84</v>
      </c>
      <c r="T78" t="s">
        <v>32</v>
      </c>
      <c r="U78" t="s">
        <v>33</v>
      </c>
      <c r="V78">
        <f>IF(OR(B78="Invalid Date",C78="Invalid Date"),"Invalid Date",C78-B78)</f>
        <v>8</v>
      </c>
      <c r="W78" s="4" t="str">
        <f>IF(OR(B78="Invalid Date",C78="Invalid Date"),"Invalid Date",IF(C78&lt;B78,"Invalid Shipping","OK"))</f>
        <v>OK</v>
      </c>
      <c r="X78">
        <f t="shared" si="8"/>
        <v>1</v>
      </c>
      <c r="Y78">
        <f t="shared" si="9"/>
        <v>0</v>
      </c>
      <c r="Z78">
        <f t="shared" si="10"/>
        <v>10218.81</v>
      </c>
      <c r="AA78">
        <f t="shared" si="11"/>
        <v>2601.8399999999992</v>
      </c>
      <c r="AB78" s="6">
        <f t="shared" si="12"/>
        <v>0.2546128169522674</v>
      </c>
      <c r="AC78" t="str">
        <f t="shared" si="13"/>
        <v>November</v>
      </c>
      <c r="AD78">
        <f t="shared" si="14"/>
        <v>2024</v>
      </c>
      <c r="AE78" t="str">
        <f t="shared" si="15"/>
        <v>Clean</v>
      </c>
    </row>
    <row r="79" spans="1:31">
      <c r="A79" t="s">
        <v>339</v>
      </c>
      <c r="B79" s="3">
        <v>45876</v>
      </c>
      <c r="C79" s="3">
        <v>45850</v>
      </c>
      <c r="D79" t="s">
        <v>340</v>
      </c>
      <c r="E79" t="s">
        <v>141</v>
      </c>
      <c r="F79" t="s">
        <v>95</v>
      </c>
      <c r="G79" t="s">
        <v>25</v>
      </c>
      <c r="H79" t="s">
        <v>136</v>
      </c>
      <c r="I79" t="s">
        <v>137</v>
      </c>
      <c r="J79" t="s">
        <v>41</v>
      </c>
      <c r="K79" t="s">
        <v>57</v>
      </c>
      <c r="L79" t="s">
        <v>341</v>
      </c>
      <c r="M79" t="s">
        <v>59</v>
      </c>
      <c r="N79">
        <v>1</v>
      </c>
      <c r="O79">
        <v>2582.1999999999998</v>
      </c>
      <c r="P79">
        <v>0.15</v>
      </c>
      <c r="Q79">
        <v>2194.87</v>
      </c>
      <c r="R79">
        <v>1223.17</v>
      </c>
      <c r="S79">
        <v>971.7</v>
      </c>
      <c r="T79" t="s">
        <v>102</v>
      </c>
      <c r="U79" t="s">
        <v>68</v>
      </c>
      <c r="V79">
        <f>IF(OR(B79="Invalid Date",C79="Invalid Date"),"Invalid Date",C79-B79)</f>
        <v>-26</v>
      </c>
      <c r="W79" s="4" t="str">
        <f>IF(OR(B79="Invalid Date",C79="Invalid Date"),"Invalid Date",IF(C79&lt;B79,"Invalid Shipping","OK"))</f>
        <v>Invalid Shipping</v>
      </c>
      <c r="X79">
        <f t="shared" si="8"/>
        <v>1</v>
      </c>
      <c r="Y79">
        <f t="shared" si="9"/>
        <v>0.15</v>
      </c>
      <c r="Z79">
        <f t="shared" si="10"/>
        <v>2194.87</v>
      </c>
      <c r="AA79">
        <f t="shared" si="11"/>
        <v>971.69999999999982</v>
      </c>
      <c r="AB79" s="6">
        <f t="shared" si="12"/>
        <v>0.44271414707932583</v>
      </c>
      <c r="AC79" t="str">
        <f t="shared" si="13"/>
        <v>August</v>
      </c>
      <c r="AD79">
        <f t="shared" si="14"/>
        <v>2025</v>
      </c>
      <c r="AE79" t="str">
        <f t="shared" si="15"/>
        <v>Invalid</v>
      </c>
    </row>
    <row r="80" spans="1:31">
      <c r="A80" t="s">
        <v>342</v>
      </c>
      <c r="B80" s="3" t="s">
        <v>2763</v>
      </c>
      <c r="C80" s="3">
        <v>45859</v>
      </c>
      <c r="D80" t="s">
        <v>343</v>
      </c>
      <c r="E80" t="s">
        <v>132</v>
      </c>
      <c r="F80" t="s">
        <v>90</v>
      </c>
      <c r="G80" t="s">
        <v>38</v>
      </c>
      <c r="H80" t="s">
        <v>99</v>
      </c>
      <c r="I80" t="s">
        <v>100</v>
      </c>
      <c r="J80" t="s">
        <v>41</v>
      </c>
      <c r="K80" t="s">
        <v>42</v>
      </c>
      <c r="L80" t="s">
        <v>344</v>
      </c>
      <c r="M80" t="s">
        <v>50</v>
      </c>
      <c r="N80">
        <v>5</v>
      </c>
      <c r="O80">
        <v>2129.5100000000002</v>
      </c>
      <c r="P80">
        <v>0.15</v>
      </c>
      <c r="Q80">
        <v>9050.42</v>
      </c>
      <c r="R80">
        <v>6778.85</v>
      </c>
      <c r="S80">
        <v>2271.5700000000002</v>
      </c>
      <c r="T80" t="s">
        <v>32</v>
      </c>
      <c r="U80" t="s">
        <v>33</v>
      </c>
      <c r="V80" t="str">
        <f>IF(OR(B80="Invalid Date",C80="Invalid Date"),"Invalid Date",C80-B80)</f>
        <v>Invalid Date</v>
      </c>
      <c r="W80" s="4" t="str">
        <f>IF(OR(B80="Invalid Date",C80="Invalid Date"),"Invalid Date",IF(C80&lt;B80,"Invalid Shipping","OK"))</f>
        <v>Invalid Date</v>
      </c>
      <c r="X80">
        <f t="shared" si="8"/>
        <v>1</v>
      </c>
      <c r="Y80">
        <f t="shared" si="9"/>
        <v>0.15</v>
      </c>
      <c r="Z80">
        <f t="shared" si="10"/>
        <v>9050.4175000000014</v>
      </c>
      <c r="AA80">
        <f t="shared" si="11"/>
        <v>2271.567500000001</v>
      </c>
      <c r="AB80" s="6">
        <f t="shared" si="12"/>
        <v>0.25099035486484472</v>
      </c>
      <c r="AC80" t="str">
        <f t="shared" si="13"/>
        <v/>
      </c>
      <c r="AD80" t="str">
        <f t="shared" si="14"/>
        <v/>
      </c>
      <c r="AE80" t="str">
        <f t="shared" si="15"/>
        <v>Invalid</v>
      </c>
    </row>
    <row r="81" spans="1:31">
      <c r="A81" t="s">
        <v>345</v>
      </c>
      <c r="B81" s="3">
        <v>45927</v>
      </c>
      <c r="C81" s="3">
        <v>45933</v>
      </c>
      <c r="D81" t="s">
        <v>346</v>
      </c>
      <c r="E81" t="s">
        <v>162</v>
      </c>
      <c r="F81" t="s">
        <v>95</v>
      </c>
      <c r="G81" t="s">
        <v>54</v>
      </c>
      <c r="H81" t="s">
        <v>247</v>
      </c>
      <c r="I81" t="s">
        <v>248</v>
      </c>
      <c r="J81" t="s">
        <v>41</v>
      </c>
      <c r="K81" t="s">
        <v>66</v>
      </c>
      <c r="L81" t="s">
        <v>347</v>
      </c>
      <c r="M81" t="s">
        <v>44</v>
      </c>
      <c r="N81">
        <v>9</v>
      </c>
      <c r="O81">
        <v>4131.5200000000004</v>
      </c>
      <c r="P81">
        <v>0.1</v>
      </c>
      <c r="Q81">
        <v>33465.31</v>
      </c>
      <c r="R81">
        <v>24781.26</v>
      </c>
      <c r="S81">
        <v>8684.0499999999993</v>
      </c>
      <c r="T81" t="s">
        <v>32</v>
      </c>
      <c r="U81" t="s">
        <v>33</v>
      </c>
      <c r="V81">
        <f>IF(OR(B81="Invalid Date",C81="Invalid Date"),"Invalid Date",C81-B81)</f>
        <v>6</v>
      </c>
      <c r="W81" s="4" t="str">
        <f>IF(OR(B81="Invalid Date",C81="Invalid Date"),"Invalid Date",IF(C81&lt;B81,"Invalid Shipping","OK"))</f>
        <v>OK</v>
      </c>
      <c r="X81">
        <f t="shared" si="8"/>
        <v>1</v>
      </c>
      <c r="Y81">
        <f t="shared" si="9"/>
        <v>0.1</v>
      </c>
      <c r="Z81">
        <f t="shared" si="10"/>
        <v>33465.312000000005</v>
      </c>
      <c r="AA81">
        <f t="shared" si="11"/>
        <v>8684.052000000007</v>
      </c>
      <c r="AB81" s="6">
        <f t="shared" si="12"/>
        <v>0.25949412932411942</v>
      </c>
      <c r="AC81" t="str">
        <f t="shared" si="13"/>
        <v>September</v>
      </c>
      <c r="AD81">
        <f t="shared" si="14"/>
        <v>2025</v>
      </c>
      <c r="AE81" t="str">
        <f t="shared" si="15"/>
        <v>Clean</v>
      </c>
    </row>
    <row r="82" spans="1:31">
      <c r="A82" t="s">
        <v>348</v>
      </c>
      <c r="B82" s="3">
        <v>45514</v>
      </c>
      <c r="C82" s="3">
        <v>45518</v>
      </c>
      <c r="D82" t="s">
        <v>349</v>
      </c>
      <c r="E82" t="s">
        <v>128</v>
      </c>
      <c r="F82" t="s">
        <v>37</v>
      </c>
      <c r="G82" t="s">
        <v>25</v>
      </c>
      <c r="H82" t="s">
        <v>350</v>
      </c>
      <c r="I82" t="s">
        <v>351</v>
      </c>
      <c r="J82" t="s">
        <v>28</v>
      </c>
      <c r="K82" t="s">
        <v>124</v>
      </c>
      <c r="L82" t="s">
        <v>352</v>
      </c>
      <c r="M82" t="s">
        <v>31</v>
      </c>
      <c r="N82">
        <v>4</v>
      </c>
      <c r="O82">
        <v>1182.32</v>
      </c>
      <c r="P82">
        <v>0.1</v>
      </c>
      <c r="Q82">
        <v>4256.3500000000004</v>
      </c>
      <c r="R82">
        <v>2495.33</v>
      </c>
      <c r="S82">
        <v>1761.02</v>
      </c>
      <c r="T82" t="s">
        <v>111</v>
      </c>
      <c r="U82" t="s">
        <v>103</v>
      </c>
      <c r="V82">
        <f>IF(OR(B82="Invalid Date",C82="Invalid Date"),"Invalid Date",C82-B82)</f>
        <v>4</v>
      </c>
      <c r="W82" s="4" t="str">
        <f>IF(OR(B82="Invalid Date",C82="Invalid Date"),"Invalid Date",IF(C82&lt;B82,"Invalid Shipping","OK"))</f>
        <v>OK</v>
      </c>
      <c r="X82">
        <f t="shared" si="8"/>
        <v>1</v>
      </c>
      <c r="Y82">
        <f t="shared" si="9"/>
        <v>0.1</v>
      </c>
      <c r="Z82">
        <f t="shared" si="10"/>
        <v>4256.3519999999999</v>
      </c>
      <c r="AA82">
        <f t="shared" si="11"/>
        <v>1761.0219999999999</v>
      </c>
      <c r="AB82" s="6">
        <f t="shared" si="12"/>
        <v>0.41373974708858663</v>
      </c>
      <c r="AC82" t="str">
        <f t="shared" si="13"/>
        <v>August</v>
      </c>
      <c r="AD82">
        <f t="shared" si="14"/>
        <v>2024</v>
      </c>
      <c r="AE82" t="str">
        <f t="shared" si="15"/>
        <v>Clean</v>
      </c>
    </row>
    <row r="83" spans="1:31">
      <c r="A83" t="s">
        <v>353</v>
      </c>
      <c r="B83" s="3">
        <v>45732</v>
      </c>
      <c r="C83" s="3">
        <v>45733</v>
      </c>
      <c r="D83" t="s">
        <v>354</v>
      </c>
      <c r="E83" t="s">
        <v>23</v>
      </c>
      <c r="F83" t="s">
        <v>95</v>
      </c>
      <c r="G83" t="s">
        <v>63</v>
      </c>
      <c r="H83" t="s">
        <v>190</v>
      </c>
      <c r="I83" t="s">
        <v>191</v>
      </c>
      <c r="J83" t="s">
        <v>28</v>
      </c>
      <c r="K83" t="s">
        <v>91</v>
      </c>
      <c r="L83" t="s">
        <v>355</v>
      </c>
      <c r="M83" t="s">
        <v>44</v>
      </c>
      <c r="N83">
        <v>3</v>
      </c>
      <c r="O83">
        <v>1841.91</v>
      </c>
      <c r="P83">
        <v>0</v>
      </c>
      <c r="Q83">
        <v>5525.73</v>
      </c>
      <c r="R83">
        <v>3093.42</v>
      </c>
      <c r="S83">
        <v>2432.31</v>
      </c>
      <c r="T83" t="s">
        <v>32</v>
      </c>
      <c r="U83" t="s">
        <v>33</v>
      </c>
      <c r="V83">
        <f>IF(OR(B83="Invalid Date",C83="Invalid Date"),"Invalid Date",C83-B83)</f>
        <v>1</v>
      </c>
      <c r="W83" s="4" t="str">
        <f>IF(OR(B83="Invalid Date",C83="Invalid Date"),"Invalid Date",IF(C83&lt;B83,"Invalid Shipping","OK"))</f>
        <v>OK</v>
      </c>
      <c r="X83">
        <f t="shared" si="8"/>
        <v>1</v>
      </c>
      <c r="Y83">
        <f t="shared" si="9"/>
        <v>0</v>
      </c>
      <c r="Z83">
        <f t="shared" si="10"/>
        <v>5525.7300000000005</v>
      </c>
      <c r="AA83">
        <f t="shared" si="11"/>
        <v>2432.3100000000004</v>
      </c>
      <c r="AB83" s="6">
        <f t="shared" si="12"/>
        <v>0.44017894468242208</v>
      </c>
      <c r="AC83" t="str">
        <f t="shared" si="13"/>
        <v>March</v>
      </c>
      <c r="AD83">
        <f t="shared" si="14"/>
        <v>2025</v>
      </c>
      <c r="AE83" t="str">
        <f t="shared" si="15"/>
        <v>Clean</v>
      </c>
    </row>
    <row r="84" spans="1:31">
      <c r="A84" t="s">
        <v>356</v>
      </c>
      <c r="B84" s="3">
        <v>45507</v>
      </c>
      <c r="C84" s="3">
        <v>45508</v>
      </c>
      <c r="D84" t="s">
        <v>357</v>
      </c>
      <c r="E84" t="s">
        <v>53</v>
      </c>
      <c r="F84" t="s">
        <v>24</v>
      </c>
      <c r="G84" t="s">
        <v>25</v>
      </c>
      <c r="H84" t="s">
        <v>136</v>
      </c>
      <c r="I84" t="s">
        <v>137</v>
      </c>
      <c r="J84" t="s">
        <v>74</v>
      </c>
      <c r="K84" t="s">
        <v>80</v>
      </c>
      <c r="L84" t="s">
        <v>358</v>
      </c>
      <c r="M84" t="s">
        <v>31</v>
      </c>
      <c r="N84">
        <v>6</v>
      </c>
      <c r="O84">
        <v>1001.73</v>
      </c>
      <c r="P84">
        <v>0</v>
      </c>
      <c r="Q84">
        <v>6010.38</v>
      </c>
      <c r="R84">
        <v>3762.85</v>
      </c>
      <c r="S84">
        <v>2247.5300000000002</v>
      </c>
      <c r="T84" t="s">
        <v>155</v>
      </c>
      <c r="U84" t="s">
        <v>103</v>
      </c>
      <c r="V84">
        <f>IF(OR(B84="Invalid Date",C84="Invalid Date"),"Invalid Date",C84-B84)</f>
        <v>1</v>
      </c>
      <c r="W84" s="4" t="str">
        <f>IF(OR(B84="Invalid Date",C84="Invalid Date"),"Invalid Date",IF(C84&lt;B84,"Invalid Shipping","OK"))</f>
        <v>OK</v>
      </c>
      <c r="X84">
        <f t="shared" si="8"/>
        <v>1</v>
      </c>
      <c r="Y84">
        <f t="shared" si="9"/>
        <v>0</v>
      </c>
      <c r="Z84">
        <f t="shared" si="10"/>
        <v>6010.38</v>
      </c>
      <c r="AA84">
        <f t="shared" si="11"/>
        <v>2247.5300000000002</v>
      </c>
      <c r="AB84" s="6">
        <f t="shared" si="12"/>
        <v>0.37394141468592673</v>
      </c>
      <c r="AC84" t="str">
        <f t="shared" si="13"/>
        <v>August</v>
      </c>
      <c r="AD84">
        <f t="shared" si="14"/>
        <v>2024</v>
      </c>
      <c r="AE84" t="str">
        <f t="shared" si="15"/>
        <v>Clean</v>
      </c>
    </row>
    <row r="85" spans="1:31">
      <c r="A85" t="s">
        <v>359</v>
      </c>
      <c r="B85" s="3">
        <v>45591</v>
      </c>
      <c r="C85" s="3">
        <v>45594</v>
      </c>
      <c r="D85" t="s">
        <v>360</v>
      </c>
      <c r="E85" t="s">
        <v>89</v>
      </c>
      <c r="F85" t="s">
        <v>95</v>
      </c>
      <c r="G85" t="s">
        <v>63</v>
      </c>
      <c r="H85" t="s">
        <v>64</v>
      </c>
      <c r="I85" t="s">
        <v>65</v>
      </c>
      <c r="J85" t="s">
        <v>41</v>
      </c>
      <c r="K85" t="s">
        <v>42</v>
      </c>
      <c r="L85" t="s">
        <v>361</v>
      </c>
      <c r="M85" t="s">
        <v>31</v>
      </c>
      <c r="N85">
        <v>9</v>
      </c>
      <c r="O85">
        <v>131.74</v>
      </c>
      <c r="P85">
        <v>0.2</v>
      </c>
      <c r="Q85">
        <v>948.53</v>
      </c>
      <c r="R85">
        <v>674.62</v>
      </c>
      <c r="S85">
        <v>273.91000000000003</v>
      </c>
      <c r="T85" t="s">
        <v>32</v>
      </c>
      <c r="U85" t="s">
        <v>33</v>
      </c>
      <c r="V85">
        <f>IF(OR(B85="Invalid Date",C85="Invalid Date"),"Invalid Date",C85-B85)</f>
        <v>3</v>
      </c>
      <c r="W85" s="4" t="str">
        <f>IF(OR(B85="Invalid Date",C85="Invalid Date"),"Invalid Date",IF(C85&lt;B85,"Invalid Shipping","OK"))</f>
        <v>OK</v>
      </c>
      <c r="X85">
        <f t="shared" si="8"/>
        <v>1</v>
      </c>
      <c r="Y85">
        <f t="shared" si="9"/>
        <v>0.2</v>
      </c>
      <c r="Z85">
        <f t="shared" si="10"/>
        <v>948.52800000000013</v>
      </c>
      <c r="AA85">
        <f t="shared" si="11"/>
        <v>273.90800000000013</v>
      </c>
      <c r="AB85" s="6">
        <f t="shared" si="12"/>
        <v>0.28877165460587362</v>
      </c>
      <c r="AC85" t="str">
        <f t="shared" si="13"/>
        <v>October</v>
      </c>
      <c r="AD85">
        <f t="shared" si="14"/>
        <v>2024</v>
      </c>
      <c r="AE85" t="str">
        <f t="shared" si="15"/>
        <v>Clean</v>
      </c>
    </row>
    <row r="86" spans="1:31">
      <c r="A86" t="s">
        <v>362</v>
      </c>
      <c r="B86" s="3">
        <v>45566</v>
      </c>
      <c r="C86" s="3">
        <v>45568</v>
      </c>
      <c r="D86" t="s">
        <v>363</v>
      </c>
      <c r="E86" t="s">
        <v>141</v>
      </c>
      <c r="F86" t="s">
        <v>90</v>
      </c>
      <c r="G86" t="s">
        <v>54</v>
      </c>
      <c r="H86" t="s">
        <v>247</v>
      </c>
      <c r="I86" t="s">
        <v>248</v>
      </c>
      <c r="J86" t="s">
        <v>74</v>
      </c>
      <c r="K86" t="s">
        <v>171</v>
      </c>
      <c r="L86" t="s">
        <v>364</v>
      </c>
      <c r="M86" t="s">
        <v>31</v>
      </c>
      <c r="N86">
        <v>6</v>
      </c>
      <c r="O86">
        <v>570.28</v>
      </c>
      <c r="P86">
        <v>0.2</v>
      </c>
      <c r="Q86">
        <v>2737.34</v>
      </c>
      <c r="R86">
        <v>2085.44</v>
      </c>
      <c r="S86">
        <v>651.9</v>
      </c>
      <c r="T86" t="s">
        <v>32</v>
      </c>
      <c r="U86" t="s">
        <v>33</v>
      </c>
      <c r="V86">
        <f>IF(OR(B86="Invalid Date",C86="Invalid Date"),"Invalid Date",C86-B86)</f>
        <v>2</v>
      </c>
      <c r="W86" s="4" t="str">
        <f>IF(OR(B86="Invalid Date",C86="Invalid Date"),"Invalid Date",IF(C86&lt;B86,"Invalid Shipping","OK"))</f>
        <v>OK</v>
      </c>
      <c r="X86">
        <f t="shared" si="8"/>
        <v>1</v>
      </c>
      <c r="Y86">
        <f t="shared" si="9"/>
        <v>0.2</v>
      </c>
      <c r="Z86">
        <f t="shared" si="10"/>
        <v>2737.3440000000001</v>
      </c>
      <c r="AA86">
        <f t="shared" si="11"/>
        <v>651.904</v>
      </c>
      <c r="AB86" s="6">
        <f t="shared" si="12"/>
        <v>0.23815201889130486</v>
      </c>
      <c r="AC86" t="str">
        <f t="shared" si="13"/>
        <v>October</v>
      </c>
      <c r="AD86">
        <f t="shared" si="14"/>
        <v>2024</v>
      </c>
      <c r="AE86" t="str">
        <f t="shared" si="15"/>
        <v>Clean</v>
      </c>
    </row>
    <row r="87" spans="1:31">
      <c r="A87" t="s">
        <v>365</v>
      </c>
      <c r="B87" s="3">
        <v>45503</v>
      </c>
      <c r="C87" s="3">
        <v>45420</v>
      </c>
      <c r="D87" t="s">
        <v>366</v>
      </c>
      <c r="E87" t="s">
        <v>264</v>
      </c>
      <c r="F87" t="s">
        <v>90</v>
      </c>
      <c r="G87" t="s">
        <v>25</v>
      </c>
      <c r="H87" t="s">
        <v>350</v>
      </c>
      <c r="I87" t="s">
        <v>351</v>
      </c>
      <c r="J87" t="s">
        <v>28</v>
      </c>
      <c r="K87" t="s">
        <v>153</v>
      </c>
      <c r="L87" t="s">
        <v>367</v>
      </c>
      <c r="M87" t="s">
        <v>59</v>
      </c>
      <c r="N87">
        <v>1</v>
      </c>
      <c r="O87">
        <v>608.64</v>
      </c>
      <c r="P87">
        <v>0</v>
      </c>
      <c r="Q87">
        <v>608.64</v>
      </c>
      <c r="R87">
        <v>343.99</v>
      </c>
      <c r="S87">
        <v>264.64999999999998</v>
      </c>
      <c r="T87" t="s">
        <v>32</v>
      </c>
      <c r="U87" t="s">
        <v>68</v>
      </c>
      <c r="V87">
        <f>IF(OR(B87="Invalid Date",C87="Invalid Date"),"Invalid Date",C87-B87)</f>
        <v>-83</v>
      </c>
      <c r="W87" s="4" t="str">
        <f>IF(OR(B87="Invalid Date",C87="Invalid Date"),"Invalid Date",IF(C87&lt;B87,"Invalid Shipping","OK"))</f>
        <v>Invalid Shipping</v>
      </c>
      <c r="X87">
        <f t="shared" si="8"/>
        <v>1</v>
      </c>
      <c r="Y87">
        <f t="shared" si="9"/>
        <v>0</v>
      </c>
      <c r="Z87">
        <f t="shared" si="10"/>
        <v>608.64</v>
      </c>
      <c r="AA87">
        <f t="shared" si="11"/>
        <v>264.64999999999998</v>
      </c>
      <c r="AB87" s="6">
        <f t="shared" si="12"/>
        <v>0.43482189800210302</v>
      </c>
      <c r="AC87" t="str">
        <f t="shared" si="13"/>
        <v>July</v>
      </c>
      <c r="AD87">
        <f t="shared" si="14"/>
        <v>2024</v>
      </c>
      <c r="AE87" t="str">
        <f t="shared" si="15"/>
        <v>Invalid</v>
      </c>
    </row>
    <row r="88" spans="1:31">
      <c r="A88" t="s">
        <v>368</v>
      </c>
      <c r="B88" s="3">
        <v>45474</v>
      </c>
      <c r="C88" s="3">
        <v>45474</v>
      </c>
      <c r="D88" t="s">
        <v>369</v>
      </c>
      <c r="E88" t="s">
        <v>62</v>
      </c>
      <c r="F88" t="s">
        <v>37</v>
      </c>
      <c r="G88" t="s">
        <v>25</v>
      </c>
      <c r="H88" t="s">
        <v>350</v>
      </c>
      <c r="I88" t="s">
        <v>351</v>
      </c>
      <c r="J88" t="s">
        <v>74</v>
      </c>
      <c r="K88" t="s">
        <v>80</v>
      </c>
      <c r="L88" t="s">
        <v>370</v>
      </c>
      <c r="M88" t="s">
        <v>31</v>
      </c>
      <c r="N88">
        <v>3</v>
      </c>
      <c r="O88">
        <v>885.28</v>
      </c>
      <c r="P88">
        <v>0.1</v>
      </c>
      <c r="Q88">
        <v>2390.2600000000002</v>
      </c>
      <c r="R88">
        <v>1495.94</v>
      </c>
      <c r="S88">
        <v>894.32</v>
      </c>
      <c r="T88" t="s">
        <v>102</v>
      </c>
      <c r="U88" t="s">
        <v>68</v>
      </c>
      <c r="V88">
        <f>IF(OR(B88="Invalid Date",C88="Invalid Date"),"Invalid Date",C88-B88)</f>
        <v>0</v>
      </c>
      <c r="W88" s="4" t="str">
        <f>IF(OR(B88="Invalid Date",C88="Invalid Date"),"Invalid Date",IF(C88&lt;B88,"Invalid Shipping","OK"))</f>
        <v>OK</v>
      </c>
      <c r="X88">
        <f t="shared" si="8"/>
        <v>1</v>
      </c>
      <c r="Y88">
        <f t="shared" si="9"/>
        <v>0.1</v>
      </c>
      <c r="Z88">
        <f t="shared" si="10"/>
        <v>2390.2560000000003</v>
      </c>
      <c r="AA88">
        <f t="shared" si="11"/>
        <v>894.31600000000026</v>
      </c>
      <c r="AB88" s="6">
        <f t="shared" si="12"/>
        <v>0.37415071858411825</v>
      </c>
      <c r="AC88" t="str">
        <f t="shared" si="13"/>
        <v>July</v>
      </c>
      <c r="AD88">
        <f t="shared" si="14"/>
        <v>2024</v>
      </c>
      <c r="AE88" t="str">
        <f t="shared" si="15"/>
        <v>Clean</v>
      </c>
    </row>
    <row r="89" spans="1:31">
      <c r="A89" t="s">
        <v>371</v>
      </c>
      <c r="B89" s="3">
        <v>45506</v>
      </c>
      <c r="C89" s="3">
        <v>45507</v>
      </c>
      <c r="D89" t="s">
        <v>372</v>
      </c>
      <c r="E89" t="s">
        <v>71</v>
      </c>
      <c r="F89" t="s">
        <v>24</v>
      </c>
      <c r="G89" t="s">
        <v>38</v>
      </c>
      <c r="H89" t="s">
        <v>166</v>
      </c>
      <c r="I89" t="s">
        <v>167</v>
      </c>
      <c r="J89" t="s">
        <v>28</v>
      </c>
      <c r="K89" t="s">
        <v>153</v>
      </c>
      <c r="L89" t="s">
        <v>373</v>
      </c>
      <c r="M89" t="s">
        <v>59</v>
      </c>
      <c r="N89">
        <v>7</v>
      </c>
      <c r="O89">
        <v>3345.22</v>
      </c>
      <c r="P89">
        <v>0</v>
      </c>
      <c r="Q89">
        <v>23416.54</v>
      </c>
      <c r="R89">
        <v>15490.89</v>
      </c>
      <c r="S89">
        <v>7925.65</v>
      </c>
      <c r="T89" t="s">
        <v>32</v>
      </c>
      <c r="U89" t="s">
        <v>33</v>
      </c>
      <c r="V89">
        <f>IF(OR(B89="Invalid Date",C89="Invalid Date"),"Invalid Date",C89-B89)</f>
        <v>1</v>
      </c>
      <c r="W89" s="4" t="str">
        <f>IF(OR(B89="Invalid Date",C89="Invalid Date"),"Invalid Date",IF(C89&lt;B89,"Invalid Shipping","OK"))</f>
        <v>OK</v>
      </c>
      <c r="X89">
        <f t="shared" si="8"/>
        <v>1</v>
      </c>
      <c r="Y89">
        <f t="shared" si="9"/>
        <v>0</v>
      </c>
      <c r="Z89">
        <f t="shared" si="10"/>
        <v>23416.539999999997</v>
      </c>
      <c r="AA89">
        <f t="shared" si="11"/>
        <v>7925.6499999999978</v>
      </c>
      <c r="AB89" s="6">
        <f t="shared" si="12"/>
        <v>0.33846375254414185</v>
      </c>
      <c r="AC89" t="str">
        <f t="shared" si="13"/>
        <v>August</v>
      </c>
      <c r="AD89">
        <f t="shared" si="14"/>
        <v>2024</v>
      </c>
      <c r="AE89" t="str">
        <f t="shared" si="15"/>
        <v>Clean</v>
      </c>
    </row>
    <row r="90" spans="1:31">
      <c r="A90" t="s">
        <v>374</v>
      </c>
      <c r="B90" s="3" t="s">
        <v>2763</v>
      </c>
      <c r="C90" s="3">
        <v>45378</v>
      </c>
      <c r="D90" t="s">
        <v>375</v>
      </c>
      <c r="E90" t="s">
        <v>141</v>
      </c>
      <c r="F90" t="s">
        <v>37</v>
      </c>
      <c r="G90" t="s">
        <v>63</v>
      </c>
      <c r="H90" t="s">
        <v>64</v>
      </c>
      <c r="I90" t="s">
        <v>65</v>
      </c>
      <c r="J90" t="s">
        <v>41</v>
      </c>
      <c r="K90" t="s">
        <v>158</v>
      </c>
      <c r="L90" t="s">
        <v>376</v>
      </c>
      <c r="M90" t="s">
        <v>59</v>
      </c>
      <c r="N90">
        <v>2</v>
      </c>
      <c r="O90">
        <v>3284.75</v>
      </c>
      <c r="P90">
        <v>0.05</v>
      </c>
      <c r="Q90">
        <v>6241.02</v>
      </c>
      <c r="R90">
        <v>5345.88</v>
      </c>
      <c r="S90">
        <v>895.14</v>
      </c>
      <c r="T90" t="s">
        <v>32</v>
      </c>
      <c r="U90" t="s">
        <v>33</v>
      </c>
      <c r="V90" t="str">
        <f>IF(OR(B90="Invalid Date",C90="Invalid Date"),"Invalid Date",C90-B90)</f>
        <v>Invalid Date</v>
      </c>
      <c r="W90" s="4" t="str">
        <f>IF(OR(B90="Invalid Date",C90="Invalid Date"),"Invalid Date",IF(C90&lt;B90,"Invalid Shipping","OK"))</f>
        <v>Invalid Date</v>
      </c>
      <c r="X90">
        <f t="shared" si="8"/>
        <v>1</v>
      </c>
      <c r="Y90">
        <f t="shared" si="9"/>
        <v>0.05</v>
      </c>
      <c r="Z90">
        <f t="shared" si="10"/>
        <v>6241.0249999999996</v>
      </c>
      <c r="AA90">
        <f t="shared" si="11"/>
        <v>895.14499999999953</v>
      </c>
      <c r="AB90" s="6">
        <f t="shared" si="12"/>
        <v>0.14342916427990587</v>
      </c>
      <c r="AC90" t="str">
        <f t="shared" si="13"/>
        <v/>
      </c>
      <c r="AD90" t="str">
        <f t="shared" si="14"/>
        <v/>
      </c>
      <c r="AE90" t="str">
        <f t="shared" si="15"/>
        <v>Invalid</v>
      </c>
    </row>
    <row r="91" spans="1:31">
      <c r="A91" t="s">
        <v>377</v>
      </c>
      <c r="B91" s="3">
        <v>45540</v>
      </c>
      <c r="C91" s="3">
        <v>45540</v>
      </c>
      <c r="D91" t="s">
        <v>378</v>
      </c>
      <c r="E91" t="s">
        <v>264</v>
      </c>
      <c r="F91" t="s">
        <v>24</v>
      </c>
      <c r="G91" t="s">
        <v>54</v>
      </c>
      <c r="H91" t="s">
        <v>84</v>
      </c>
      <c r="I91" t="s">
        <v>85</v>
      </c>
      <c r="J91" t="s">
        <v>41</v>
      </c>
      <c r="K91" t="s">
        <v>158</v>
      </c>
      <c r="L91" t="s">
        <v>379</v>
      </c>
      <c r="M91" t="s">
        <v>59</v>
      </c>
      <c r="N91">
        <v>7</v>
      </c>
      <c r="O91">
        <v>3761.09</v>
      </c>
      <c r="P91">
        <v>0.2</v>
      </c>
      <c r="Q91">
        <v>21062.1</v>
      </c>
      <c r="R91">
        <v>12057.13</v>
      </c>
      <c r="S91">
        <v>9004.9699999999993</v>
      </c>
      <c r="T91" t="s">
        <v>111</v>
      </c>
      <c r="U91" t="s">
        <v>68</v>
      </c>
      <c r="V91">
        <f>IF(OR(B91="Invalid Date",C91="Invalid Date"),"Invalid Date",C91-B91)</f>
        <v>0</v>
      </c>
      <c r="W91" s="4" t="str">
        <f>IF(OR(B91="Invalid Date",C91="Invalid Date"),"Invalid Date",IF(C91&lt;B91,"Invalid Shipping","OK"))</f>
        <v>OK</v>
      </c>
      <c r="X91">
        <f t="shared" si="8"/>
        <v>1</v>
      </c>
      <c r="Y91">
        <f t="shared" si="9"/>
        <v>0.2</v>
      </c>
      <c r="Z91">
        <f t="shared" si="10"/>
        <v>21062.104000000003</v>
      </c>
      <c r="AA91">
        <f t="shared" si="11"/>
        <v>9004.9740000000038</v>
      </c>
      <c r="AB91" s="6">
        <f t="shared" si="12"/>
        <v>0.42754389589947911</v>
      </c>
      <c r="AC91" t="str">
        <f t="shared" si="13"/>
        <v>September</v>
      </c>
      <c r="AD91">
        <f t="shared" si="14"/>
        <v>2024</v>
      </c>
      <c r="AE91" t="str">
        <f t="shared" si="15"/>
        <v>Clean</v>
      </c>
    </row>
    <row r="92" spans="1:31">
      <c r="A92" t="s">
        <v>380</v>
      </c>
      <c r="B92" s="3" t="s">
        <v>2763</v>
      </c>
      <c r="C92" s="3">
        <v>45898</v>
      </c>
      <c r="D92" t="s">
        <v>381</v>
      </c>
      <c r="E92" t="s">
        <v>128</v>
      </c>
      <c r="F92" t="s">
        <v>37</v>
      </c>
      <c r="G92" t="s">
        <v>38</v>
      </c>
      <c r="H92" t="s">
        <v>145</v>
      </c>
      <c r="I92" t="s">
        <v>146</v>
      </c>
      <c r="J92" t="s">
        <v>74</v>
      </c>
      <c r="K92" t="s">
        <v>80</v>
      </c>
      <c r="L92" t="s">
        <v>382</v>
      </c>
      <c r="M92" t="s">
        <v>50</v>
      </c>
      <c r="N92">
        <v>3</v>
      </c>
      <c r="O92">
        <v>3703.96</v>
      </c>
      <c r="P92">
        <v>0.15</v>
      </c>
      <c r="Q92">
        <v>9445.1</v>
      </c>
      <c r="R92">
        <v>5586.28</v>
      </c>
      <c r="S92">
        <v>3858.82</v>
      </c>
      <c r="T92" t="s">
        <v>32</v>
      </c>
      <c r="U92" t="s">
        <v>33</v>
      </c>
      <c r="V92" t="str">
        <f>IF(OR(B92="Invalid Date",C92="Invalid Date"),"Invalid Date",C92-B92)</f>
        <v>Invalid Date</v>
      </c>
      <c r="W92" s="4" t="str">
        <f>IF(OR(B92="Invalid Date",C92="Invalid Date"),"Invalid Date",IF(C92&lt;B92,"Invalid Shipping","OK"))</f>
        <v>Invalid Date</v>
      </c>
      <c r="X92">
        <f t="shared" si="8"/>
        <v>2</v>
      </c>
      <c r="Y92">
        <f t="shared" si="9"/>
        <v>0.15</v>
      </c>
      <c r="Z92">
        <f t="shared" si="10"/>
        <v>9445.098</v>
      </c>
      <c r="AA92">
        <f t="shared" si="11"/>
        <v>3858.8180000000002</v>
      </c>
      <c r="AB92" s="6">
        <f t="shared" si="12"/>
        <v>0.40855245758170006</v>
      </c>
      <c r="AC92" t="str">
        <f t="shared" si="13"/>
        <v/>
      </c>
      <c r="AD92" t="str">
        <f t="shared" si="14"/>
        <v/>
      </c>
      <c r="AE92" t="str">
        <f t="shared" si="15"/>
        <v>Invalid</v>
      </c>
    </row>
    <row r="93" spans="1:31">
      <c r="A93" t="s">
        <v>383</v>
      </c>
      <c r="B93" s="3">
        <v>45718</v>
      </c>
      <c r="C93" s="3">
        <v>45872</v>
      </c>
      <c r="D93" t="s">
        <v>384</v>
      </c>
      <c r="E93" t="s">
        <v>132</v>
      </c>
      <c r="F93" t="s">
        <v>90</v>
      </c>
      <c r="G93" t="s">
        <v>63</v>
      </c>
      <c r="H93" t="s">
        <v>72</v>
      </c>
      <c r="I93" t="s">
        <v>73</v>
      </c>
      <c r="J93" t="s">
        <v>74</v>
      </c>
      <c r="K93" t="s">
        <v>80</v>
      </c>
      <c r="L93" t="s">
        <v>385</v>
      </c>
      <c r="M93" t="s">
        <v>31</v>
      </c>
      <c r="N93">
        <v>9</v>
      </c>
      <c r="O93">
        <v>269.68</v>
      </c>
      <c r="P93">
        <v>0</v>
      </c>
      <c r="Q93">
        <v>2427.12</v>
      </c>
      <c r="R93">
        <v>1538.35</v>
      </c>
      <c r="S93">
        <v>804.53</v>
      </c>
      <c r="T93" t="s">
        <v>32</v>
      </c>
      <c r="U93" t="s">
        <v>33</v>
      </c>
      <c r="V93">
        <f>IF(OR(B93="Invalid Date",C93="Invalid Date"),"Invalid Date",C93-B93)</f>
        <v>154</v>
      </c>
      <c r="W93" s="4" t="str">
        <f>IF(OR(B93="Invalid Date",C93="Invalid Date"),"Invalid Date",IF(C93&lt;B93,"Invalid Shipping","OK"))</f>
        <v>OK</v>
      </c>
      <c r="X93">
        <f t="shared" si="8"/>
        <v>1</v>
      </c>
      <c r="Y93">
        <f t="shared" si="9"/>
        <v>0</v>
      </c>
      <c r="Z93">
        <f t="shared" si="10"/>
        <v>2427.12</v>
      </c>
      <c r="AA93">
        <f t="shared" si="11"/>
        <v>888.77</v>
      </c>
      <c r="AB93" s="6">
        <f t="shared" si="12"/>
        <v>0.36618296581957216</v>
      </c>
      <c r="AC93" t="str">
        <f t="shared" si="13"/>
        <v>March</v>
      </c>
      <c r="AD93">
        <f t="shared" si="14"/>
        <v>2025</v>
      </c>
      <c r="AE93" t="str">
        <f t="shared" si="15"/>
        <v>Clean</v>
      </c>
    </row>
    <row r="94" spans="1:31">
      <c r="A94" t="s">
        <v>386</v>
      </c>
      <c r="B94" s="3">
        <v>45680</v>
      </c>
      <c r="C94" s="3" t="s">
        <v>2763</v>
      </c>
      <c r="D94" t="s">
        <v>387</v>
      </c>
      <c r="E94" t="s">
        <v>128</v>
      </c>
      <c r="F94" t="s">
        <v>24</v>
      </c>
      <c r="G94" t="s">
        <v>63</v>
      </c>
      <c r="H94" t="s">
        <v>72</v>
      </c>
      <c r="I94" t="s">
        <v>73</v>
      </c>
      <c r="J94" t="s">
        <v>28</v>
      </c>
      <c r="K94" t="s">
        <v>29</v>
      </c>
      <c r="L94" t="s">
        <v>388</v>
      </c>
      <c r="M94" t="s">
        <v>59</v>
      </c>
      <c r="N94">
        <v>9</v>
      </c>
      <c r="O94">
        <v>4458.26</v>
      </c>
      <c r="P94">
        <v>0.1</v>
      </c>
      <c r="Q94">
        <v>36111.910000000003</v>
      </c>
      <c r="R94">
        <v>29194.5</v>
      </c>
      <c r="S94">
        <v>6917.41</v>
      </c>
      <c r="T94" t="s">
        <v>32</v>
      </c>
      <c r="U94" t="s">
        <v>33</v>
      </c>
      <c r="V94" t="str">
        <f>IF(OR(B94="Invalid Date",C94="Invalid Date"),"Invalid Date",C94-B94)</f>
        <v>Invalid Date</v>
      </c>
      <c r="W94" s="4" t="str">
        <f>IF(OR(B94="Invalid Date",C94="Invalid Date"),"Invalid Date",IF(C94&lt;B94,"Invalid Shipping","OK"))</f>
        <v>Invalid Date</v>
      </c>
      <c r="X94">
        <f t="shared" si="8"/>
        <v>1</v>
      </c>
      <c r="Y94">
        <f t="shared" si="9"/>
        <v>0.1</v>
      </c>
      <c r="Z94">
        <f t="shared" si="10"/>
        <v>36111.906000000003</v>
      </c>
      <c r="AA94">
        <f t="shared" si="11"/>
        <v>6917.4060000000027</v>
      </c>
      <c r="AB94" s="6">
        <f t="shared" si="12"/>
        <v>0.19155471882320479</v>
      </c>
      <c r="AC94" t="str">
        <f t="shared" si="13"/>
        <v>January</v>
      </c>
      <c r="AD94">
        <f t="shared" si="14"/>
        <v>2025</v>
      </c>
      <c r="AE94" t="str">
        <f t="shared" si="15"/>
        <v>Invalid</v>
      </c>
    </row>
    <row r="95" spans="1:31">
      <c r="A95" t="s">
        <v>389</v>
      </c>
      <c r="B95" s="3">
        <v>45474</v>
      </c>
      <c r="C95" s="3">
        <v>45304</v>
      </c>
      <c r="D95" t="s">
        <v>390</v>
      </c>
      <c r="E95" t="s">
        <v>141</v>
      </c>
      <c r="F95" t="s">
        <v>90</v>
      </c>
      <c r="G95" t="s">
        <v>25</v>
      </c>
      <c r="H95" t="s">
        <v>136</v>
      </c>
      <c r="I95" t="s">
        <v>137</v>
      </c>
      <c r="J95" t="s">
        <v>28</v>
      </c>
      <c r="K95" t="s">
        <v>153</v>
      </c>
      <c r="L95" t="s">
        <v>391</v>
      </c>
      <c r="M95" t="s">
        <v>59</v>
      </c>
      <c r="N95">
        <v>7</v>
      </c>
      <c r="O95">
        <v>2788.97</v>
      </c>
      <c r="P95">
        <v>-0.09</v>
      </c>
      <c r="Q95">
        <v>19522.79</v>
      </c>
      <c r="R95">
        <v>12455.78</v>
      </c>
      <c r="S95">
        <v>7067.01</v>
      </c>
      <c r="T95" t="s">
        <v>32</v>
      </c>
      <c r="U95" t="s">
        <v>33</v>
      </c>
      <c r="V95">
        <f>IF(OR(B95="Invalid Date",C95="Invalid Date"),"Invalid Date",C95-B95)</f>
        <v>-170</v>
      </c>
      <c r="W95" s="4" t="str">
        <f>IF(OR(B95="Invalid Date",C95="Invalid Date"),"Invalid Date",IF(C95&lt;B95,"Invalid Shipping","OK"))</f>
        <v>Invalid Shipping</v>
      </c>
      <c r="X95">
        <f t="shared" si="8"/>
        <v>1</v>
      </c>
      <c r="Y95" t="str">
        <f t="shared" si="9"/>
        <v>Invalid</v>
      </c>
      <c r="Z95" t="str">
        <f t="shared" si="10"/>
        <v/>
      </c>
      <c r="AA95" t="str">
        <f t="shared" si="11"/>
        <v/>
      </c>
      <c r="AB95" s="6" t="str">
        <f t="shared" si="12"/>
        <v/>
      </c>
      <c r="AC95" t="str">
        <f t="shared" si="13"/>
        <v>July</v>
      </c>
      <c r="AD95">
        <f t="shared" si="14"/>
        <v>2024</v>
      </c>
      <c r="AE95" t="str">
        <f t="shared" si="15"/>
        <v>Invalid</v>
      </c>
    </row>
    <row r="96" spans="1:31">
      <c r="A96" t="s">
        <v>392</v>
      </c>
      <c r="B96" s="3">
        <v>45452</v>
      </c>
      <c r="C96" s="3">
        <v>45544</v>
      </c>
      <c r="D96" t="s">
        <v>393</v>
      </c>
      <c r="E96" t="s">
        <v>162</v>
      </c>
      <c r="F96" t="s">
        <v>24</v>
      </c>
      <c r="G96" t="s">
        <v>25</v>
      </c>
      <c r="H96" t="s">
        <v>236</v>
      </c>
      <c r="I96" t="s">
        <v>237</v>
      </c>
      <c r="J96" t="s">
        <v>74</v>
      </c>
      <c r="K96" t="s">
        <v>171</v>
      </c>
      <c r="L96" t="s">
        <v>394</v>
      </c>
      <c r="M96" t="s">
        <v>31</v>
      </c>
      <c r="N96">
        <v>7</v>
      </c>
      <c r="O96">
        <v>3781.53</v>
      </c>
      <c r="P96">
        <v>0</v>
      </c>
      <c r="Q96">
        <v>26470.71</v>
      </c>
      <c r="R96">
        <v>21367.599999999999</v>
      </c>
      <c r="S96">
        <v>5103.1099999999997</v>
      </c>
      <c r="T96" t="s">
        <v>111</v>
      </c>
      <c r="U96" t="s">
        <v>68</v>
      </c>
      <c r="V96">
        <f>IF(OR(B96="Invalid Date",C96="Invalid Date"),"Invalid Date",C96-B96)</f>
        <v>92</v>
      </c>
      <c r="W96" s="4" t="str">
        <f>IF(OR(B96="Invalid Date",C96="Invalid Date"),"Invalid Date",IF(C96&lt;B96,"Invalid Shipping","OK"))</f>
        <v>OK</v>
      </c>
      <c r="X96">
        <f t="shared" si="8"/>
        <v>1</v>
      </c>
      <c r="Y96">
        <f t="shared" si="9"/>
        <v>0</v>
      </c>
      <c r="Z96">
        <f t="shared" si="10"/>
        <v>26470.710000000003</v>
      </c>
      <c r="AA96">
        <f t="shared" si="11"/>
        <v>5103.1100000000042</v>
      </c>
      <c r="AB96" s="6">
        <f t="shared" si="12"/>
        <v>0.19278326875251944</v>
      </c>
      <c r="AC96" t="str">
        <f t="shared" si="13"/>
        <v>June</v>
      </c>
      <c r="AD96">
        <f t="shared" si="14"/>
        <v>2024</v>
      </c>
      <c r="AE96" t="str">
        <f t="shared" si="15"/>
        <v>Clean</v>
      </c>
    </row>
    <row r="97" spans="1:31">
      <c r="A97" t="s">
        <v>395</v>
      </c>
      <c r="B97" s="3">
        <v>45905</v>
      </c>
      <c r="C97" s="3">
        <v>45939</v>
      </c>
      <c r="D97" t="s">
        <v>396</v>
      </c>
      <c r="E97" t="s">
        <v>132</v>
      </c>
      <c r="F97" t="s">
        <v>90</v>
      </c>
      <c r="G97" t="s">
        <v>63</v>
      </c>
      <c r="H97" t="s">
        <v>190</v>
      </c>
      <c r="I97" t="s">
        <v>191</v>
      </c>
      <c r="J97" t="s">
        <v>41</v>
      </c>
      <c r="K97" t="s">
        <v>158</v>
      </c>
      <c r="L97" t="s">
        <v>397</v>
      </c>
      <c r="M97" t="s">
        <v>44</v>
      </c>
      <c r="N97">
        <v>6</v>
      </c>
      <c r="O97">
        <v>1754.13</v>
      </c>
      <c r="P97">
        <v>0</v>
      </c>
      <c r="Q97">
        <v>10524.78</v>
      </c>
      <c r="R97">
        <v>8841.0499999999993</v>
      </c>
      <c r="S97">
        <v>1683.73</v>
      </c>
      <c r="T97" t="s">
        <v>32</v>
      </c>
      <c r="U97" t="s">
        <v>33</v>
      </c>
      <c r="V97">
        <f>IF(OR(B97="Invalid Date",C97="Invalid Date"),"Invalid Date",C97-B97)</f>
        <v>34</v>
      </c>
      <c r="W97" s="4" t="str">
        <f>IF(OR(B97="Invalid Date",C97="Invalid Date"),"Invalid Date",IF(C97&lt;B97,"Invalid Shipping","OK"))</f>
        <v>OK</v>
      </c>
      <c r="X97">
        <f t="shared" si="8"/>
        <v>1</v>
      </c>
      <c r="Y97">
        <f t="shared" si="9"/>
        <v>0</v>
      </c>
      <c r="Z97">
        <f t="shared" si="10"/>
        <v>10524.78</v>
      </c>
      <c r="AA97">
        <f t="shared" si="11"/>
        <v>1683.7300000000014</v>
      </c>
      <c r="AB97" s="6">
        <f t="shared" si="12"/>
        <v>0.15997769074507984</v>
      </c>
      <c r="AC97" t="str">
        <f t="shared" si="13"/>
        <v>September</v>
      </c>
      <c r="AD97">
        <f t="shared" si="14"/>
        <v>2025</v>
      </c>
      <c r="AE97" t="str">
        <f t="shared" si="15"/>
        <v>Clean</v>
      </c>
    </row>
    <row r="98" spans="1:31">
      <c r="A98" t="s">
        <v>398</v>
      </c>
      <c r="B98" s="3">
        <v>45448</v>
      </c>
      <c r="C98" s="3">
        <v>45450</v>
      </c>
      <c r="D98" t="s">
        <v>399</v>
      </c>
      <c r="E98" t="s">
        <v>118</v>
      </c>
      <c r="F98" t="s">
        <v>95</v>
      </c>
      <c r="G98" t="s">
        <v>38</v>
      </c>
      <c r="H98" t="s">
        <v>39</v>
      </c>
      <c r="I98" t="s">
        <v>40</v>
      </c>
      <c r="J98" t="s">
        <v>74</v>
      </c>
      <c r="K98" t="s">
        <v>80</v>
      </c>
      <c r="L98" t="s">
        <v>400</v>
      </c>
      <c r="M98" t="s">
        <v>31</v>
      </c>
      <c r="N98">
        <v>2</v>
      </c>
      <c r="O98">
        <v>2259.2399999999998</v>
      </c>
      <c r="P98">
        <v>0.15</v>
      </c>
      <c r="Q98">
        <v>3840.71</v>
      </c>
      <c r="R98">
        <v>2516.29</v>
      </c>
      <c r="S98">
        <v>1324.42</v>
      </c>
      <c r="T98" t="s">
        <v>32</v>
      </c>
      <c r="U98" t="s">
        <v>33</v>
      </c>
      <c r="V98">
        <f>IF(OR(B98="Invalid Date",C98="Invalid Date"),"Invalid Date",C98-B98)</f>
        <v>2</v>
      </c>
      <c r="W98" s="4" t="str">
        <f>IF(OR(B98="Invalid Date",C98="Invalid Date"),"Invalid Date",IF(C98&lt;B98,"Invalid Shipping","OK"))</f>
        <v>OK</v>
      </c>
      <c r="X98">
        <f t="shared" si="8"/>
        <v>1</v>
      </c>
      <c r="Y98">
        <f t="shared" si="9"/>
        <v>0.15</v>
      </c>
      <c r="Z98">
        <f t="shared" si="10"/>
        <v>3840.7079999999996</v>
      </c>
      <c r="AA98">
        <f t="shared" si="11"/>
        <v>1324.4179999999997</v>
      </c>
      <c r="AB98" s="6">
        <f t="shared" si="12"/>
        <v>0.34483694152224009</v>
      </c>
      <c r="AC98" t="str">
        <f t="shared" si="13"/>
        <v>June</v>
      </c>
      <c r="AD98">
        <f t="shared" si="14"/>
        <v>2024</v>
      </c>
      <c r="AE98" t="str">
        <f t="shared" si="15"/>
        <v>Clean</v>
      </c>
    </row>
    <row r="99" spans="1:31">
      <c r="A99" t="s">
        <v>401</v>
      </c>
      <c r="B99" s="3">
        <v>45877</v>
      </c>
      <c r="C99" s="3">
        <v>45880</v>
      </c>
      <c r="D99" t="s">
        <v>402</v>
      </c>
      <c r="E99" t="s">
        <v>162</v>
      </c>
      <c r="F99" t="s">
        <v>37</v>
      </c>
      <c r="G99" t="s">
        <v>63</v>
      </c>
      <c r="H99" t="s">
        <v>180</v>
      </c>
      <c r="I99" t="s">
        <v>181</v>
      </c>
      <c r="J99" t="s">
        <v>28</v>
      </c>
      <c r="K99" t="s">
        <v>124</v>
      </c>
      <c r="L99" t="s">
        <v>403</v>
      </c>
      <c r="M99" t="s">
        <v>44</v>
      </c>
      <c r="N99">
        <v>5</v>
      </c>
      <c r="O99">
        <v>3602.36</v>
      </c>
      <c r="P99">
        <v>0.2</v>
      </c>
      <c r="Q99">
        <v>14409.44</v>
      </c>
      <c r="R99">
        <v>8809.9699999999993</v>
      </c>
      <c r="S99">
        <v>5599.47</v>
      </c>
      <c r="T99" t="s">
        <v>111</v>
      </c>
      <c r="U99" t="s">
        <v>103</v>
      </c>
      <c r="V99">
        <f>IF(OR(B99="Invalid Date",C99="Invalid Date"),"Invalid Date",C99-B99)</f>
        <v>3</v>
      </c>
      <c r="W99" s="4" t="str">
        <f>IF(OR(B99="Invalid Date",C99="Invalid Date"),"Invalid Date",IF(C99&lt;B99,"Invalid Shipping","OK"))</f>
        <v>OK</v>
      </c>
      <c r="X99">
        <f t="shared" si="8"/>
        <v>1</v>
      </c>
      <c r="Y99">
        <f t="shared" si="9"/>
        <v>0.2</v>
      </c>
      <c r="Z99">
        <f t="shared" si="10"/>
        <v>14409.44</v>
      </c>
      <c r="AA99">
        <f t="shared" si="11"/>
        <v>5599.4700000000012</v>
      </c>
      <c r="AB99" s="6">
        <f t="shared" si="12"/>
        <v>0.38859733619071951</v>
      </c>
      <c r="AC99" t="str">
        <f t="shared" si="13"/>
        <v>August</v>
      </c>
      <c r="AD99">
        <f t="shared" si="14"/>
        <v>2025</v>
      </c>
      <c r="AE99" t="str">
        <f t="shared" si="15"/>
        <v>Clean</v>
      </c>
    </row>
    <row r="100" spans="1:31">
      <c r="A100" t="s">
        <v>404</v>
      </c>
      <c r="B100" s="3">
        <v>45317</v>
      </c>
      <c r="C100" s="3">
        <v>45293</v>
      </c>
      <c r="D100" t="s">
        <v>405</v>
      </c>
      <c r="E100" t="s">
        <v>141</v>
      </c>
      <c r="F100" t="s">
        <v>95</v>
      </c>
      <c r="G100" t="s">
        <v>54</v>
      </c>
      <c r="H100" t="s">
        <v>185</v>
      </c>
      <c r="I100" t="s">
        <v>186</v>
      </c>
      <c r="J100" t="s">
        <v>74</v>
      </c>
      <c r="K100" t="s">
        <v>80</v>
      </c>
      <c r="L100" t="s">
        <v>406</v>
      </c>
      <c r="M100" t="s">
        <v>2767</v>
      </c>
      <c r="N100">
        <v>8</v>
      </c>
      <c r="O100">
        <v>2108.9299999999998</v>
      </c>
      <c r="P100">
        <v>0.1</v>
      </c>
      <c r="Q100">
        <v>15184.3</v>
      </c>
      <c r="R100">
        <v>11270.74</v>
      </c>
      <c r="S100">
        <v>3913.56</v>
      </c>
      <c r="T100" t="s">
        <v>32</v>
      </c>
      <c r="U100" t="s">
        <v>33</v>
      </c>
      <c r="V100">
        <f>IF(OR(B100="Invalid Date",C100="Invalid Date"),"Invalid Date",C100-B100)</f>
        <v>-24</v>
      </c>
      <c r="W100" s="4" t="str">
        <f>IF(OR(B100="Invalid Date",C100="Invalid Date"),"Invalid Date",IF(C100&lt;B100,"Invalid Shipping","OK"))</f>
        <v>Invalid Shipping</v>
      </c>
      <c r="X100">
        <f t="shared" si="8"/>
        <v>1</v>
      </c>
      <c r="Y100">
        <f t="shared" si="9"/>
        <v>0.1</v>
      </c>
      <c r="Z100">
        <f t="shared" si="10"/>
        <v>15184.295999999998</v>
      </c>
      <c r="AA100">
        <f t="shared" si="11"/>
        <v>3913.5559999999987</v>
      </c>
      <c r="AB100" s="6">
        <f t="shared" si="12"/>
        <v>0.25773707256497103</v>
      </c>
      <c r="AC100" t="str">
        <f t="shared" si="13"/>
        <v>January</v>
      </c>
      <c r="AD100">
        <f t="shared" si="14"/>
        <v>2024</v>
      </c>
      <c r="AE100" t="str">
        <f t="shared" si="15"/>
        <v>Invalid</v>
      </c>
    </row>
    <row r="101" spans="1:31">
      <c r="A101" t="s">
        <v>407</v>
      </c>
      <c r="B101" s="3">
        <v>45668</v>
      </c>
      <c r="C101" s="3">
        <v>45668</v>
      </c>
      <c r="D101" t="s">
        <v>408</v>
      </c>
      <c r="E101" t="s">
        <v>89</v>
      </c>
      <c r="F101" t="s">
        <v>37</v>
      </c>
      <c r="G101" t="s">
        <v>63</v>
      </c>
      <c r="H101" t="s">
        <v>26</v>
      </c>
      <c r="I101" t="s">
        <v>109</v>
      </c>
      <c r="J101" t="s">
        <v>74</v>
      </c>
      <c r="K101" t="s">
        <v>75</v>
      </c>
      <c r="L101" t="s">
        <v>409</v>
      </c>
      <c r="M101" t="s">
        <v>44</v>
      </c>
      <c r="N101">
        <v>3</v>
      </c>
      <c r="O101">
        <v>2165.29</v>
      </c>
      <c r="P101">
        <v>0</v>
      </c>
      <c r="Q101">
        <v>6495.87</v>
      </c>
      <c r="R101">
        <v>4700.8900000000003</v>
      </c>
      <c r="S101">
        <v>1794.98</v>
      </c>
      <c r="T101" t="s">
        <v>32</v>
      </c>
      <c r="U101" t="s">
        <v>33</v>
      </c>
      <c r="V101">
        <f>IF(OR(B101="Invalid Date",C101="Invalid Date"),"Invalid Date",C101-B101)</f>
        <v>0</v>
      </c>
      <c r="W101" s="4" t="str">
        <f>IF(OR(B101="Invalid Date",C101="Invalid Date"),"Invalid Date",IF(C101&lt;B101,"Invalid Shipping","OK"))</f>
        <v>OK</v>
      </c>
      <c r="X101">
        <f t="shared" si="8"/>
        <v>1</v>
      </c>
      <c r="Y101">
        <f t="shared" si="9"/>
        <v>0</v>
      </c>
      <c r="Z101">
        <f t="shared" si="10"/>
        <v>6495.87</v>
      </c>
      <c r="AA101">
        <f t="shared" si="11"/>
        <v>1794.9799999999996</v>
      </c>
      <c r="AB101" s="6">
        <f t="shared" si="12"/>
        <v>0.27632634273777024</v>
      </c>
      <c r="AC101" t="str">
        <f t="shared" si="13"/>
        <v>January</v>
      </c>
      <c r="AD101">
        <f t="shared" si="14"/>
        <v>2025</v>
      </c>
      <c r="AE101" t="str">
        <f t="shared" si="15"/>
        <v>Clean</v>
      </c>
    </row>
    <row r="102" spans="1:31">
      <c r="A102" t="s">
        <v>410</v>
      </c>
      <c r="B102" s="3">
        <v>45912</v>
      </c>
      <c r="C102" s="3">
        <v>45918</v>
      </c>
      <c r="D102" t="s">
        <v>411</v>
      </c>
      <c r="E102" t="s">
        <v>128</v>
      </c>
      <c r="F102" t="s">
        <v>95</v>
      </c>
      <c r="G102" t="s">
        <v>54</v>
      </c>
      <c r="H102" t="s">
        <v>185</v>
      </c>
      <c r="I102" t="s">
        <v>186</v>
      </c>
      <c r="J102" t="s">
        <v>28</v>
      </c>
      <c r="K102" t="s">
        <v>124</v>
      </c>
      <c r="L102" t="s">
        <v>412</v>
      </c>
      <c r="M102" t="s">
        <v>59</v>
      </c>
      <c r="N102">
        <v>6</v>
      </c>
      <c r="O102">
        <v>1673.8</v>
      </c>
      <c r="P102">
        <v>0.05</v>
      </c>
      <c r="Q102">
        <v>9540.66</v>
      </c>
      <c r="R102">
        <v>5561.49</v>
      </c>
      <c r="S102">
        <v>3979.17</v>
      </c>
      <c r="T102" t="s">
        <v>32</v>
      </c>
      <c r="U102" t="s">
        <v>33</v>
      </c>
      <c r="V102">
        <f>IF(OR(B102="Invalid Date",C102="Invalid Date"),"Invalid Date",C102-B102)</f>
        <v>6</v>
      </c>
      <c r="W102" s="4" t="str">
        <f>IF(OR(B102="Invalid Date",C102="Invalid Date"),"Invalid Date",IF(C102&lt;B102,"Invalid Shipping","OK"))</f>
        <v>OK</v>
      </c>
      <c r="X102">
        <f t="shared" si="8"/>
        <v>1</v>
      </c>
      <c r="Y102">
        <f t="shared" si="9"/>
        <v>0.05</v>
      </c>
      <c r="Z102">
        <f t="shared" si="10"/>
        <v>9540.659999999998</v>
      </c>
      <c r="AA102">
        <f t="shared" si="11"/>
        <v>3979.1699999999983</v>
      </c>
      <c r="AB102" s="6">
        <f t="shared" si="12"/>
        <v>0.41707491934520241</v>
      </c>
      <c r="AC102" t="str">
        <f t="shared" si="13"/>
        <v>September</v>
      </c>
      <c r="AD102">
        <f t="shared" si="14"/>
        <v>2025</v>
      </c>
      <c r="AE102" t="str">
        <f t="shared" si="15"/>
        <v>Clean</v>
      </c>
    </row>
    <row r="103" spans="1:31">
      <c r="A103" t="s">
        <v>413</v>
      </c>
      <c r="B103" s="3" t="s">
        <v>2763</v>
      </c>
      <c r="C103" s="3">
        <v>45469</v>
      </c>
      <c r="D103" t="s">
        <v>414</v>
      </c>
      <c r="E103" t="s">
        <v>141</v>
      </c>
      <c r="F103" t="s">
        <v>95</v>
      </c>
      <c r="G103" t="s">
        <v>38</v>
      </c>
      <c r="H103" t="s">
        <v>145</v>
      </c>
      <c r="I103" t="s">
        <v>146</v>
      </c>
      <c r="J103" t="s">
        <v>41</v>
      </c>
      <c r="K103" t="s">
        <v>57</v>
      </c>
      <c r="L103" t="s">
        <v>415</v>
      </c>
      <c r="M103" t="s">
        <v>50</v>
      </c>
      <c r="N103">
        <v>5</v>
      </c>
      <c r="O103">
        <v>4396.5200000000004</v>
      </c>
      <c r="P103">
        <v>0.25</v>
      </c>
      <c r="Q103">
        <v>16486.95</v>
      </c>
      <c r="R103">
        <v>12054.14</v>
      </c>
      <c r="S103">
        <v>4432.8100000000004</v>
      </c>
      <c r="T103" t="s">
        <v>32</v>
      </c>
      <c r="U103" t="s">
        <v>33</v>
      </c>
      <c r="V103" t="str">
        <f>IF(OR(B103="Invalid Date",C103="Invalid Date"),"Invalid Date",C103-B103)</f>
        <v>Invalid Date</v>
      </c>
      <c r="W103" s="4" t="str">
        <f>IF(OR(B103="Invalid Date",C103="Invalid Date"),"Invalid Date",IF(C103&lt;B103,"Invalid Shipping","OK"))</f>
        <v>Invalid Date</v>
      </c>
      <c r="X103">
        <f t="shared" si="8"/>
        <v>1</v>
      </c>
      <c r="Y103">
        <f t="shared" si="9"/>
        <v>0.25</v>
      </c>
      <c r="Z103">
        <f t="shared" si="10"/>
        <v>16486.95</v>
      </c>
      <c r="AA103">
        <f t="shared" si="11"/>
        <v>4432.8100000000013</v>
      </c>
      <c r="AB103" s="6">
        <f t="shared" si="12"/>
        <v>0.26886780150361356</v>
      </c>
      <c r="AC103" t="str">
        <f t="shared" si="13"/>
        <v/>
      </c>
      <c r="AD103" t="str">
        <f t="shared" si="14"/>
        <v/>
      </c>
      <c r="AE103" t="str">
        <f t="shared" si="15"/>
        <v>Invalid</v>
      </c>
    </row>
    <row r="104" spans="1:31">
      <c r="A104" t="s">
        <v>416</v>
      </c>
      <c r="B104" s="3">
        <v>45850</v>
      </c>
      <c r="C104" s="3">
        <v>45854</v>
      </c>
      <c r="D104" t="s">
        <v>417</v>
      </c>
      <c r="E104" t="s">
        <v>71</v>
      </c>
      <c r="F104" t="s">
        <v>24</v>
      </c>
      <c r="G104" t="s">
        <v>54</v>
      </c>
      <c r="H104" t="s">
        <v>175</v>
      </c>
      <c r="I104" t="s">
        <v>176</v>
      </c>
      <c r="J104" t="s">
        <v>41</v>
      </c>
      <c r="K104" t="s">
        <v>66</v>
      </c>
      <c r="L104" t="s">
        <v>418</v>
      </c>
      <c r="M104" t="s">
        <v>50</v>
      </c>
      <c r="N104">
        <v>4</v>
      </c>
      <c r="O104">
        <v>2865.71</v>
      </c>
      <c r="P104">
        <v>0</v>
      </c>
      <c r="Q104">
        <v>11462.84</v>
      </c>
      <c r="R104">
        <v>8979.7800000000007</v>
      </c>
      <c r="S104">
        <v>2483.06</v>
      </c>
      <c r="T104" t="s">
        <v>102</v>
      </c>
      <c r="U104" t="s">
        <v>68</v>
      </c>
      <c r="V104">
        <f>IF(OR(B104="Invalid Date",C104="Invalid Date"),"Invalid Date",C104-B104)</f>
        <v>4</v>
      </c>
      <c r="W104" s="4" t="str">
        <f>IF(OR(B104="Invalid Date",C104="Invalid Date"),"Invalid Date",IF(C104&lt;B104,"Invalid Shipping","OK"))</f>
        <v>OK</v>
      </c>
      <c r="X104">
        <f t="shared" si="8"/>
        <v>1</v>
      </c>
      <c r="Y104">
        <f t="shared" si="9"/>
        <v>0</v>
      </c>
      <c r="Z104">
        <f t="shared" si="10"/>
        <v>11462.84</v>
      </c>
      <c r="AA104">
        <f t="shared" si="11"/>
        <v>2483.0599999999995</v>
      </c>
      <c r="AB104" s="6">
        <f t="shared" si="12"/>
        <v>0.21661822026653077</v>
      </c>
      <c r="AC104" t="str">
        <f t="shared" si="13"/>
        <v>July</v>
      </c>
      <c r="AD104">
        <f t="shared" si="14"/>
        <v>2025</v>
      </c>
      <c r="AE104" t="str">
        <f t="shared" si="15"/>
        <v>Clean</v>
      </c>
    </row>
    <row r="105" spans="1:31">
      <c r="A105" t="s">
        <v>419</v>
      </c>
      <c r="B105" s="3">
        <v>45693</v>
      </c>
      <c r="C105" s="3">
        <v>45935</v>
      </c>
      <c r="D105" t="s">
        <v>420</v>
      </c>
      <c r="E105" t="s">
        <v>264</v>
      </c>
      <c r="F105" t="s">
        <v>90</v>
      </c>
      <c r="G105" t="s">
        <v>63</v>
      </c>
      <c r="H105" t="s">
        <v>64</v>
      </c>
      <c r="I105" t="s">
        <v>65</v>
      </c>
      <c r="J105" t="s">
        <v>41</v>
      </c>
      <c r="K105" t="s">
        <v>42</v>
      </c>
      <c r="L105" t="s">
        <v>421</v>
      </c>
      <c r="M105" t="s">
        <v>50</v>
      </c>
      <c r="N105">
        <v>4</v>
      </c>
      <c r="O105">
        <v>2440.34</v>
      </c>
      <c r="P105">
        <v>0.2</v>
      </c>
      <c r="Q105">
        <v>7809.09</v>
      </c>
      <c r="R105">
        <v>6657.75</v>
      </c>
      <c r="S105">
        <v>1151.3399999999999</v>
      </c>
      <c r="T105" t="s">
        <v>32</v>
      </c>
      <c r="U105" t="s">
        <v>33</v>
      </c>
      <c r="V105">
        <f>IF(OR(B105="Invalid Date",C105="Invalid Date"),"Invalid Date",C105-B105)</f>
        <v>242</v>
      </c>
      <c r="W105" s="4" t="str">
        <f>IF(OR(B105="Invalid Date",C105="Invalid Date"),"Invalid Date",IF(C105&lt;B105,"Invalid Shipping","OK"))</f>
        <v>OK</v>
      </c>
      <c r="X105">
        <f t="shared" si="8"/>
        <v>1</v>
      </c>
      <c r="Y105">
        <f t="shared" si="9"/>
        <v>0.2</v>
      </c>
      <c r="Z105">
        <f t="shared" si="10"/>
        <v>7809.0880000000006</v>
      </c>
      <c r="AA105">
        <f t="shared" si="11"/>
        <v>1151.3380000000006</v>
      </c>
      <c r="AB105" s="6">
        <f t="shared" si="12"/>
        <v>0.14743565445798543</v>
      </c>
      <c r="AC105" t="str">
        <f t="shared" si="13"/>
        <v>February</v>
      </c>
      <c r="AD105">
        <f t="shared" si="14"/>
        <v>2025</v>
      </c>
      <c r="AE105" t="str">
        <f t="shared" si="15"/>
        <v>Clean</v>
      </c>
    </row>
    <row r="106" spans="1:31">
      <c r="A106" t="s">
        <v>422</v>
      </c>
      <c r="B106" s="3">
        <v>45689</v>
      </c>
      <c r="C106" s="3">
        <v>45871</v>
      </c>
      <c r="D106" t="s">
        <v>423</v>
      </c>
      <c r="E106" t="s">
        <v>62</v>
      </c>
      <c r="F106" t="s">
        <v>24</v>
      </c>
      <c r="G106" t="s">
        <v>54</v>
      </c>
      <c r="H106" t="s">
        <v>175</v>
      </c>
      <c r="I106" t="s">
        <v>176</v>
      </c>
      <c r="J106" t="s">
        <v>28</v>
      </c>
      <c r="K106" t="s">
        <v>91</v>
      </c>
      <c r="L106" t="s">
        <v>424</v>
      </c>
      <c r="M106" t="s">
        <v>44</v>
      </c>
      <c r="N106">
        <v>5</v>
      </c>
      <c r="O106">
        <v>2112.54</v>
      </c>
      <c r="P106">
        <v>0.25</v>
      </c>
      <c r="Q106">
        <v>8260.4599999999991</v>
      </c>
      <c r="R106">
        <v>5619.95</v>
      </c>
      <c r="S106">
        <v>2302.08</v>
      </c>
      <c r="T106" t="s">
        <v>32</v>
      </c>
      <c r="U106" t="s">
        <v>68</v>
      </c>
      <c r="V106">
        <f>IF(OR(B106="Invalid Date",C106="Invalid Date"),"Invalid Date",C106-B106)</f>
        <v>182</v>
      </c>
      <c r="W106" s="4" t="str">
        <f>IF(OR(B106="Invalid Date",C106="Invalid Date"),"Invalid Date",IF(C106&lt;B106,"Invalid Shipping","OK"))</f>
        <v>OK</v>
      </c>
      <c r="X106">
        <f t="shared" si="8"/>
        <v>1</v>
      </c>
      <c r="Y106">
        <f t="shared" si="9"/>
        <v>0.25</v>
      </c>
      <c r="Z106">
        <f t="shared" si="10"/>
        <v>7922.0250000000005</v>
      </c>
      <c r="AA106">
        <f t="shared" si="11"/>
        <v>2302.0750000000007</v>
      </c>
      <c r="AB106" s="6">
        <f t="shared" si="12"/>
        <v>0.29059173633004193</v>
      </c>
      <c r="AC106" t="str">
        <f t="shared" si="13"/>
        <v>February</v>
      </c>
      <c r="AD106">
        <f t="shared" si="14"/>
        <v>2025</v>
      </c>
      <c r="AE106" t="str">
        <f t="shared" si="15"/>
        <v>Clean</v>
      </c>
    </row>
    <row r="107" spans="1:31">
      <c r="A107" t="s">
        <v>425</v>
      </c>
      <c r="B107" s="3" t="s">
        <v>2763</v>
      </c>
      <c r="C107" s="3">
        <v>45472</v>
      </c>
      <c r="D107" t="s">
        <v>426</v>
      </c>
      <c r="E107" t="s">
        <v>36</v>
      </c>
      <c r="F107" t="s">
        <v>95</v>
      </c>
      <c r="G107" t="s">
        <v>38</v>
      </c>
      <c r="H107" t="s">
        <v>99</v>
      </c>
      <c r="I107" t="s">
        <v>100</v>
      </c>
      <c r="J107" t="s">
        <v>41</v>
      </c>
      <c r="K107" t="s">
        <v>42</v>
      </c>
      <c r="L107" t="s">
        <v>427</v>
      </c>
      <c r="M107" t="s">
        <v>31</v>
      </c>
      <c r="N107">
        <v>2</v>
      </c>
      <c r="O107">
        <v>685</v>
      </c>
      <c r="P107">
        <v>0.1</v>
      </c>
      <c r="Q107">
        <v>1233</v>
      </c>
      <c r="R107">
        <v>1006.9</v>
      </c>
      <c r="S107">
        <v>226.1</v>
      </c>
      <c r="T107" t="s">
        <v>32</v>
      </c>
      <c r="U107" t="s">
        <v>33</v>
      </c>
      <c r="V107" t="str">
        <f>IF(OR(B107="Invalid Date",C107="Invalid Date"),"Invalid Date",C107-B107)</f>
        <v>Invalid Date</v>
      </c>
      <c r="W107" s="4" t="str">
        <f>IF(OR(B107="Invalid Date",C107="Invalid Date"),"Invalid Date",IF(C107&lt;B107,"Invalid Shipping","OK"))</f>
        <v>Invalid Date</v>
      </c>
      <c r="X107">
        <f t="shared" si="8"/>
        <v>1</v>
      </c>
      <c r="Y107">
        <f t="shared" si="9"/>
        <v>0.1</v>
      </c>
      <c r="Z107">
        <f t="shared" si="10"/>
        <v>1233</v>
      </c>
      <c r="AA107">
        <f t="shared" si="11"/>
        <v>226.10000000000002</v>
      </c>
      <c r="AB107" s="6">
        <f t="shared" si="12"/>
        <v>0.18337388483373887</v>
      </c>
      <c r="AC107" t="str">
        <f t="shared" si="13"/>
        <v/>
      </c>
      <c r="AD107" t="str">
        <f t="shared" si="14"/>
        <v/>
      </c>
      <c r="AE107" t="str">
        <f t="shared" si="15"/>
        <v>Invalid</v>
      </c>
    </row>
    <row r="108" spans="1:31">
      <c r="A108" t="s">
        <v>428</v>
      </c>
      <c r="B108" s="3">
        <v>45342</v>
      </c>
      <c r="C108" s="3">
        <v>45350</v>
      </c>
      <c r="D108" t="s">
        <v>429</v>
      </c>
      <c r="E108" t="s">
        <v>53</v>
      </c>
      <c r="F108" t="s">
        <v>95</v>
      </c>
      <c r="G108" t="s">
        <v>38</v>
      </c>
      <c r="H108" t="s">
        <v>99</v>
      </c>
      <c r="I108" t="s">
        <v>100</v>
      </c>
      <c r="J108" t="s">
        <v>28</v>
      </c>
      <c r="K108" t="s">
        <v>29</v>
      </c>
      <c r="L108" t="s">
        <v>430</v>
      </c>
      <c r="M108" t="s">
        <v>59</v>
      </c>
      <c r="N108">
        <v>2</v>
      </c>
      <c r="O108">
        <v>4004.04</v>
      </c>
      <c r="P108">
        <v>0</v>
      </c>
      <c r="Q108">
        <v>7207.27</v>
      </c>
      <c r="R108">
        <v>5709.39</v>
      </c>
      <c r="S108">
        <v>1497.88</v>
      </c>
      <c r="T108" t="s">
        <v>32</v>
      </c>
      <c r="U108" t="s">
        <v>68</v>
      </c>
      <c r="V108">
        <f>IF(OR(B108="Invalid Date",C108="Invalid Date"),"Invalid Date",C108-B108)</f>
        <v>8</v>
      </c>
      <c r="W108" s="4" t="str">
        <f>IF(OR(B108="Invalid Date",C108="Invalid Date"),"Invalid Date",IF(C108&lt;B108,"Invalid Shipping","OK"))</f>
        <v>OK</v>
      </c>
      <c r="X108">
        <f t="shared" si="8"/>
        <v>1</v>
      </c>
      <c r="Y108">
        <f t="shared" si="9"/>
        <v>0</v>
      </c>
      <c r="Z108">
        <f t="shared" si="10"/>
        <v>8008.08</v>
      </c>
      <c r="AA108">
        <f t="shared" si="11"/>
        <v>2298.6899999999996</v>
      </c>
      <c r="AB108" s="6">
        <f t="shared" si="12"/>
        <v>0.28704633320346445</v>
      </c>
      <c r="AC108" t="str">
        <f t="shared" si="13"/>
        <v>February</v>
      </c>
      <c r="AD108">
        <f t="shared" si="14"/>
        <v>2024</v>
      </c>
      <c r="AE108" t="str">
        <f t="shared" si="15"/>
        <v>Clean</v>
      </c>
    </row>
    <row r="109" spans="1:31">
      <c r="A109" t="s">
        <v>431</v>
      </c>
      <c r="B109" s="3">
        <v>45594</v>
      </c>
      <c r="C109" s="3">
        <v>45600</v>
      </c>
      <c r="D109" t="s">
        <v>432</v>
      </c>
      <c r="E109" t="s">
        <v>141</v>
      </c>
      <c r="F109" t="s">
        <v>95</v>
      </c>
      <c r="G109" t="s">
        <v>38</v>
      </c>
      <c r="H109" t="s">
        <v>99</v>
      </c>
      <c r="I109" t="s">
        <v>100</v>
      </c>
      <c r="J109" t="s">
        <v>41</v>
      </c>
      <c r="K109" t="s">
        <v>57</v>
      </c>
      <c r="L109" t="s">
        <v>433</v>
      </c>
      <c r="M109" t="s">
        <v>50</v>
      </c>
      <c r="N109">
        <v>3</v>
      </c>
      <c r="O109">
        <v>4302.8900000000003</v>
      </c>
      <c r="P109">
        <v>0.05</v>
      </c>
      <c r="Q109">
        <v>12263.24</v>
      </c>
      <c r="R109">
        <v>8925.57</v>
      </c>
      <c r="S109">
        <v>3337.67</v>
      </c>
      <c r="T109" t="s">
        <v>32</v>
      </c>
      <c r="U109" t="s">
        <v>33</v>
      </c>
      <c r="V109">
        <f>IF(OR(B109="Invalid Date",C109="Invalid Date"),"Invalid Date",C109-B109)</f>
        <v>6</v>
      </c>
      <c r="W109" s="4" t="str">
        <f>IF(OR(B109="Invalid Date",C109="Invalid Date"),"Invalid Date",IF(C109&lt;B109,"Invalid Shipping","OK"))</f>
        <v>OK</v>
      </c>
      <c r="X109">
        <f t="shared" si="8"/>
        <v>1</v>
      </c>
      <c r="Y109">
        <f t="shared" si="9"/>
        <v>0.05</v>
      </c>
      <c r="Z109">
        <f t="shared" si="10"/>
        <v>12263.236500000001</v>
      </c>
      <c r="AA109">
        <f t="shared" si="11"/>
        <v>3337.6665000000012</v>
      </c>
      <c r="AB109" s="6">
        <f t="shared" si="12"/>
        <v>0.27216848504878799</v>
      </c>
      <c r="AC109" t="str">
        <f t="shared" si="13"/>
        <v>October</v>
      </c>
      <c r="AD109">
        <f t="shared" si="14"/>
        <v>2024</v>
      </c>
      <c r="AE109" t="str">
        <f t="shared" si="15"/>
        <v>Clean</v>
      </c>
    </row>
    <row r="110" spans="1:31">
      <c r="A110" t="s">
        <v>434</v>
      </c>
      <c r="B110" s="3">
        <v>45519</v>
      </c>
      <c r="C110" s="3" t="s">
        <v>2763</v>
      </c>
      <c r="D110" t="s">
        <v>435</v>
      </c>
      <c r="E110" t="s">
        <v>89</v>
      </c>
      <c r="F110" t="s">
        <v>37</v>
      </c>
      <c r="G110" t="s">
        <v>38</v>
      </c>
      <c r="H110" t="s">
        <v>39</v>
      </c>
      <c r="I110" t="s">
        <v>40</v>
      </c>
      <c r="J110" t="s">
        <v>41</v>
      </c>
      <c r="K110" t="s">
        <v>158</v>
      </c>
      <c r="L110" t="s">
        <v>436</v>
      </c>
      <c r="M110" t="s">
        <v>44</v>
      </c>
      <c r="N110">
        <v>2</v>
      </c>
      <c r="O110">
        <v>537.54</v>
      </c>
      <c r="P110">
        <v>0.25</v>
      </c>
      <c r="Q110">
        <v>806.31</v>
      </c>
      <c r="R110">
        <v>498.5</v>
      </c>
      <c r="S110">
        <v>307.81</v>
      </c>
      <c r="T110" t="s">
        <v>32</v>
      </c>
      <c r="U110" t="s">
        <v>33</v>
      </c>
      <c r="V110" t="str">
        <f>IF(OR(B110="Invalid Date",C110="Invalid Date"),"Invalid Date",C110-B110)</f>
        <v>Invalid Date</v>
      </c>
      <c r="W110" s="4" t="str">
        <f>IF(OR(B110="Invalid Date",C110="Invalid Date"),"Invalid Date",IF(C110&lt;B110,"Invalid Shipping","OK"))</f>
        <v>Invalid Date</v>
      </c>
      <c r="X110">
        <f t="shared" si="8"/>
        <v>1</v>
      </c>
      <c r="Y110">
        <f t="shared" si="9"/>
        <v>0.25</v>
      </c>
      <c r="Z110">
        <f t="shared" si="10"/>
        <v>806.31</v>
      </c>
      <c r="AA110">
        <f t="shared" si="11"/>
        <v>307.80999999999995</v>
      </c>
      <c r="AB110" s="6">
        <f t="shared" si="12"/>
        <v>0.38175143555208291</v>
      </c>
      <c r="AC110" t="str">
        <f t="shared" si="13"/>
        <v>August</v>
      </c>
      <c r="AD110">
        <f t="shared" si="14"/>
        <v>2024</v>
      </c>
      <c r="AE110" t="str">
        <f t="shared" si="15"/>
        <v>Invalid</v>
      </c>
    </row>
    <row r="111" spans="1:31">
      <c r="A111" t="s">
        <v>437</v>
      </c>
      <c r="B111" s="3">
        <v>45892</v>
      </c>
      <c r="C111" s="3" t="s">
        <v>2763</v>
      </c>
      <c r="D111" t="s">
        <v>438</v>
      </c>
      <c r="E111" t="s">
        <v>132</v>
      </c>
      <c r="F111" t="s">
        <v>24</v>
      </c>
      <c r="G111" t="s">
        <v>25</v>
      </c>
      <c r="H111" t="s">
        <v>350</v>
      </c>
      <c r="I111" t="s">
        <v>351</v>
      </c>
      <c r="J111" t="s">
        <v>28</v>
      </c>
      <c r="K111" t="s">
        <v>153</v>
      </c>
      <c r="L111" t="s">
        <v>439</v>
      </c>
      <c r="M111" t="s">
        <v>31</v>
      </c>
      <c r="N111">
        <v>1</v>
      </c>
      <c r="O111">
        <v>2788.62</v>
      </c>
      <c r="P111">
        <v>0.25</v>
      </c>
      <c r="Q111">
        <v>2091.4699999999998</v>
      </c>
      <c r="R111">
        <v>1317.22</v>
      </c>
      <c r="S111">
        <v>774.25</v>
      </c>
      <c r="T111" t="s">
        <v>32</v>
      </c>
      <c r="U111" t="s">
        <v>33</v>
      </c>
      <c r="V111" t="str">
        <f>IF(OR(B111="Invalid Date",C111="Invalid Date"),"Invalid Date",C111-B111)</f>
        <v>Invalid Date</v>
      </c>
      <c r="W111" s="4" t="str">
        <f>IF(OR(B111="Invalid Date",C111="Invalid Date"),"Invalid Date",IF(C111&lt;B111,"Invalid Shipping","OK"))</f>
        <v>Invalid Date</v>
      </c>
      <c r="X111">
        <f t="shared" si="8"/>
        <v>1</v>
      </c>
      <c r="Y111">
        <f t="shared" si="9"/>
        <v>0.25</v>
      </c>
      <c r="Z111">
        <f t="shared" si="10"/>
        <v>2091.4650000000001</v>
      </c>
      <c r="AA111">
        <f t="shared" si="11"/>
        <v>774.24500000000012</v>
      </c>
      <c r="AB111" s="6">
        <f t="shared" si="12"/>
        <v>0.37019266399389905</v>
      </c>
      <c r="AC111" t="str">
        <f t="shared" si="13"/>
        <v>August</v>
      </c>
      <c r="AD111">
        <f t="shared" si="14"/>
        <v>2025</v>
      </c>
      <c r="AE111" t="str">
        <f t="shared" si="15"/>
        <v>Invalid</v>
      </c>
    </row>
    <row r="112" spans="1:31">
      <c r="A112" t="s">
        <v>440</v>
      </c>
      <c r="B112" s="3" t="s">
        <v>2763</v>
      </c>
      <c r="C112" s="3">
        <v>45589</v>
      </c>
      <c r="D112" t="s">
        <v>441</v>
      </c>
      <c r="E112" t="s">
        <v>71</v>
      </c>
      <c r="F112" t="s">
        <v>90</v>
      </c>
      <c r="G112" t="s">
        <v>54</v>
      </c>
      <c r="H112" t="s">
        <v>185</v>
      </c>
      <c r="I112" t="s">
        <v>186</v>
      </c>
      <c r="J112" t="s">
        <v>28</v>
      </c>
      <c r="K112" t="s">
        <v>91</v>
      </c>
      <c r="L112" t="s">
        <v>442</v>
      </c>
      <c r="M112" t="s">
        <v>50</v>
      </c>
      <c r="N112">
        <v>2</v>
      </c>
      <c r="O112">
        <v>2250.4699999999998</v>
      </c>
      <c r="P112">
        <v>0</v>
      </c>
      <c r="Q112">
        <v>4500.9399999999996</v>
      </c>
      <c r="R112">
        <v>2607.73</v>
      </c>
      <c r="S112">
        <v>1893.21</v>
      </c>
      <c r="T112" t="s">
        <v>102</v>
      </c>
      <c r="U112" t="s">
        <v>68</v>
      </c>
      <c r="V112" t="str">
        <f>IF(OR(B112="Invalid Date",C112="Invalid Date"),"Invalid Date",C112-B112)</f>
        <v>Invalid Date</v>
      </c>
      <c r="W112" s="4" t="str">
        <f>IF(OR(B112="Invalid Date",C112="Invalid Date"),"Invalid Date",IF(C112&lt;B112,"Invalid Shipping","OK"))</f>
        <v>Invalid Date</v>
      </c>
      <c r="X112">
        <f t="shared" si="8"/>
        <v>1</v>
      </c>
      <c r="Y112">
        <f t="shared" si="9"/>
        <v>0</v>
      </c>
      <c r="Z112">
        <f t="shared" si="10"/>
        <v>4500.9399999999996</v>
      </c>
      <c r="AA112">
        <f t="shared" si="11"/>
        <v>1893.2099999999996</v>
      </c>
      <c r="AB112" s="6">
        <f t="shared" si="12"/>
        <v>0.42062546934640316</v>
      </c>
      <c r="AC112" t="str">
        <f t="shared" si="13"/>
        <v/>
      </c>
      <c r="AD112" t="str">
        <f t="shared" si="14"/>
        <v/>
      </c>
      <c r="AE112" t="str">
        <f t="shared" si="15"/>
        <v>Invalid</v>
      </c>
    </row>
    <row r="113" spans="1:31">
      <c r="A113" t="s">
        <v>443</v>
      </c>
      <c r="B113" s="3" t="s">
        <v>2763</v>
      </c>
      <c r="C113" s="3">
        <v>45838</v>
      </c>
      <c r="D113" t="s">
        <v>444</v>
      </c>
      <c r="E113" t="s">
        <v>79</v>
      </c>
      <c r="F113" t="s">
        <v>90</v>
      </c>
      <c r="G113" t="s">
        <v>38</v>
      </c>
      <c r="H113" t="s">
        <v>145</v>
      </c>
      <c r="I113" t="s">
        <v>146</v>
      </c>
      <c r="J113" t="s">
        <v>74</v>
      </c>
      <c r="K113" t="s">
        <v>75</v>
      </c>
      <c r="L113" t="s">
        <v>445</v>
      </c>
      <c r="M113" t="s">
        <v>50</v>
      </c>
      <c r="N113">
        <v>1</v>
      </c>
      <c r="O113">
        <v>1708.44</v>
      </c>
      <c r="P113">
        <v>0.05</v>
      </c>
      <c r="Q113">
        <v>1623.02</v>
      </c>
      <c r="R113">
        <v>1077.46</v>
      </c>
      <c r="S113">
        <v>545.55999999999995</v>
      </c>
      <c r="T113" t="s">
        <v>111</v>
      </c>
      <c r="U113" t="s">
        <v>68</v>
      </c>
      <c r="V113" t="str">
        <f>IF(OR(B113="Invalid Date",C113="Invalid Date"),"Invalid Date",C113-B113)</f>
        <v>Invalid Date</v>
      </c>
      <c r="W113" s="4" t="str">
        <f>IF(OR(B113="Invalid Date",C113="Invalid Date"),"Invalid Date",IF(C113&lt;B113,"Invalid Shipping","OK"))</f>
        <v>Invalid Date</v>
      </c>
      <c r="X113">
        <f t="shared" si="8"/>
        <v>1</v>
      </c>
      <c r="Y113">
        <f t="shared" si="9"/>
        <v>0.05</v>
      </c>
      <c r="Z113">
        <f t="shared" si="10"/>
        <v>1623.018</v>
      </c>
      <c r="AA113">
        <f t="shared" si="11"/>
        <v>545.55799999999999</v>
      </c>
      <c r="AB113" s="6">
        <f t="shared" si="12"/>
        <v>0.3361379849145234</v>
      </c>
      <c r="AC113" t="str">
        <f t="shared" si="13"/>
        <v/>
      </c>
      <c r="AD113" t="str">
        <f t="shared" si="14"/>
        <v/>
      </c>
      <c r="AE113" t="str">
        <f t="shared" si="15"/>
        <v>Invalid</v>
      </c>
    </row>
    <row r="114" spans="1:31">
      <c r="A114" t="s">
        <v>446</v>
      </c>
      <c r="B114" s="3">
        <v>45301</v>
      </c>
      <c r="C114" s="3">
        <v>45305</v>
      </c>
      <c r="D114" t="s">
        <v>447</v>
      </c>
      <c r="E114" t="s">
        <v>132</v>
      </c>
      <c r="F114" t="s">
        <v>24</v>
      </c>
      <c r="G114" t="s">
        <v>2767</v>
      </c>
      <c r="H114" t="s">
        <v>180</v>
      </c>
      <c r="I114" t="s">
        <v>181</v>
      </c>
      <c r="J114" t="s">
        <v>74</v>
      </c>
      <c r="K114" t="s">
        <v>75</v>
      </c>
      <c r="L114" t="s">
        <v>448</v>
      </c>
      <c r="M114" t="s">
        <v>59</v>
      </c>
      <c r="N114">
        <v>3</v>
      </c>
      <c r="O114">
        <v>3829.48</v>
      </c>
      <c r="P114">
        <v>0.05</v>
      </c>
      <c r="Q114">
        <v>10914.02</v>
      </c>
      <c r="R114">
        <v>6548.74</v>
      </c>
      <c r="S114">
        <v>4365.28</v>
      </c>
      <c r="T114" t="s">
        <v>32</v>
      </c>
      <c r="U114" t="s">
        <v>33</v>
      </c>
      <c r="V114">
        <f>IF(OR(B114="Invalid Date",C114="Invalid Date"),"Invalid Date",C114-B114)</f>
        <v>4</v>
      </c>
      <c r="W114" s="4" t="str">
        <f>IF(OR(B114="Invalid Date",C114="Invalid Date"),"Invalid Date",IF(C114&lt;B114,"Invalid Shipping","OK"))</f>
        <v>OK</v>
      </c>
      <c r="X114">
        <f t="shared" si="8"/>
        <v>1</v>
      </c>
      <c r="Y114">
        <f t="shared" si="9"/>
        <v>0.05</v>
      </c>
      <c r="Z114">
        <f t="shared" si="10"/>
        <v>10914.018</v>
      </c>
      <c r="AA114">
        <f t="shared" si="11"/>
        <v>4365.2780000000002</v>
      </c>
      <c r="AB114" s="6">
        <f t="shared" si="12"/>
        <v>0.39996983695647198</v>
      </c>
      <c r="AC114" t="str">
        <f t="shared" si="13"/>
        <v>January</v>
      </c>
      <c r="AD114">
        <f t="shared" si="14"/>
        <v>2024</v>
      </c>
      <c r="AE114" t="str">
        <f t="shared" si="15"/>
        <v>Warning</v>
      </c>
    </row>
    <row r="115" spans="1:31">
      <c r="A115" t="s">
        <v>449</v>
      </c>
      <c r="B115" s="3">
        <v>45334</v>
      </c>
      <c r="C115" s="3">
        <v>45334</v>
      </c>
      <c r="D115" t="s">
        <v>360</v>
      </c>
      <c r="E115" t="s">
        <v>47</v>
      </c>
      <c r="F115" t="s">
        <v>95</v>
      </c>
      <c r="G115" t="s">
        <v>54</v>
      </c>
      <c r="H115" t="s">
        <v>247</v>
      </c>
      <c r="I115" t="s">
        <v>248</v>
      </c>
      <c r="J115" t="s">
        <v>41</v>
      </c>
      <c r="K115" t="s">
        <v>42</v>
      </c>
      <c r="L115" t="s">
        <v>450</v>
      </c>
      <c r="M115" t="s">
        <v>59</v>
      </c>
      <c r="N115">
        <v>3</v>
      </c>
      <c r="O115">
        <v>1089.1500000000001</v>
      </c>
      <c r="P115">
        <v>0.25</v>
      </c>
      <c r="Q115">
        <v>2450.59</v>
      </c>
      <c r="R115">
        <v>1639.89</v>
      </c>
      <c r="S115">
        <v>810.7</v>
      </c>
      <c r="T115" t="s">
        <v>32</v>
      </c>
      <c r="U115" t="s">
        <v>33</v>
      </c>
      <c r="V115">
        <f>IF(OR(B115="Invalid Date",C115="Invalid Date"),"Invalid Date",C115-B115)</f>
        <v>0</v>
      </c>
      <c r="W115" s="4" t="str">
        <f>IF(OR(B115="Invalid Date",C115="Invalid Date"),"Invalid Date",IF(C115&lt;B115,"Invalid Shipping","OK"))</f>
        <v>OK</v>
      </c>
      <c r="X115">
        <f t="shared" si="8"/>
        <v>1</v>
      </c>
      <c r="Y115">
        <f t="shared" si="9"/>
        <v>0.25</v>
      </c>
      <c r="Z115">
        <f t="shared" si="10"/>
        <v>2450.5875000000001</v>
      </c>
      <c r="AA115">
        <f t="shared" si="11"/>
        <v>810.69749999999999</v>
      </c>
      <c r="AB115" s="6">
        <f t="shared" si="12"/>
        <v>0.33081761006289306</v>
      </c>
      <c r="AC115" t="str">
        <f t="shared" si="13"/>
        <v>February</v>
      </c>
      <c r="AD115">
        <f t="shared" si="14"/>
        <v>2024</v>
      </c>
      <c r="AE115" t="str">
        <f t="shared" si="15"/>
        <v>Clean</v>
      </c>
    </row>
    <row r="116" spans="1:31">
      <c r="A116" t="s">
        <v>451</v>
      </c>
      <c r="B116" s="3">
        <v>45560</v>
      </c>
      <c r="C116" s="3">
        <v>45565</v>
      </c>
      <c r="D116" t="s">
        <v>452</v>
      </c>
      <c r="E116" t="s">
        <v>79</v>
      </c>
      <c r="F116" t="s">
        <v>37</v>
      </c>
      <c r="G116" t="s">
        <v>25</v>
      </c>
      <c r="H116" t="s">
        <v>26</v>
      </c>
      <c r="I116" t="s">
        <v>27</v>
      </c>
      <c r="J116" t="s">
        <v>74</v>
      </c>
      <c r="K116" t="s">
        <v>75</v>
      </c>
      <c r="L116" t="s">
        <v>453</v>
      </c>
      <c r="M116" t="s">
        <v>31</v>
      </c>
      <c r="N116">
        <v>1</v>
      </c>
      <c r="O116">
        <v>4388.3999999999996</v>
      </c>
      <c r="P116">
        <v>0.1</v>
      </c>
      <c r="Q116">
        <v>3949.56</v>
      </c>
      <c r="R116">
        <v>3186.73</v>
      </c>
      <c r="S116">
        <v>762.83</v>
      </c>
      <c r="T116" t="s">
        <v>111</v>
      </c>
      <c r="U116" t="s">
        <v>68</v>
      </c>
      <c r="V116">
        <f>IF(OR(B116="Invalid Date",C116="Invalid Date"),"Invalid Date",C116-B116)</f>
        <v>5</v>
      </c>
      <c r="W116" s="4" t="str">
        <f>IF(OR(B116="Invalid Date",C116="Invalid Date"),"Invalid Date",IF(C116&lt;B116,"Invalid Shipping","OK"))</f>
        <v>OK</v>
      </c>
      <c r="X116">
        <f t="shared" si="8"/>
        <v>1</v>
      </c>
      <c r="Y116">
        <f t="shared" si="9"/>
        <v>0.1</v>
      </c>
      <c r="Z116">
        <f t="shared" si="10"/>
        <v>3949.56</v>
      </c>
      <c r="AA116">
        <f t="shared" si="11"/>
        <v>762.82999999999993</v>
      </c>
      <c r="AB116" s="6">
        <f t="shared" si="12"/>
        <v>0.19314303365438173</v>
      </c>
      <c r="AC116" t="str">
        <f t="shared" si="13"/>
        <v>September</v>
      </c>
      <c r="AD116">
        <f t="shared" si="14"/>
        <v>2024</v>
      </c>
      <c r="AE116" t="str">
        <f t="shared" si="15"/>
        <v>Clean</v>
      </c>
    </row>
    <row r="117" spans="1:31">
      <c r="A117" t="s">
        <v>454</v>
      </c>
      <c r="B117" s="3">
        <v>45653</v>
      </c>
      <c r="C117" s="3">
        <v>45658</v>
      </c>
      <c r="D117" t="s">
        <v>455</v>
      </c>
      <c r="E117" t="s">
        <v>264</v>
      </c>
      <c r="F117" t="s">
        <v>90</v>
      </c>
      <c r="G117" t="s">
        <v>54</v>
      </c>
      <c r="H117" t="s">
        <v>247</v>
      </c>
      <c r="I117" t="s">
        <v>248</v>
      </c>
      <c r="J117" t="s">
        <v>28</v>
      </c>
      <c r="K117" t="s">
        <v>153</v>
      </c>
      <c r="L117" t="s">
        <v>456</v>
      </c>
      <c r="M117" t="s">
        <v>44</v>
      </c>
      <c r="N117">
        <v>2</v>
      </c>
      <c r="O117">
        <v>446.34</v>
      </c>
      <c r="P117">
        <v>0.15</v>
      </c>
      <c r="Q117">
        <v>758.78</v>
      </c>
      <c r="R117">
        <v>490.74</v>
      </c>
      <c r="S117">
        <v>268.04000000000002</v>
      </c>
      <c r="T117" t="s">
        <v>32</v>
      </c>
      <c r="U117" t="s">
        <v>68</v>
      </c>
      <c r="V117">
        <f>IF(OR(B117="Invalid Date",C117="Invalid Date"),"Invalid Date",C117-B117)</f>
        <v>5</v>
      </c>
      <c r="W117" s="4" t="str">
        <f>IF(OR(B117="Invalid Date",C117="Invalid Date"),"Invalid Date",IF(C117&lt;B117,"Invalid Shipping","OK"))</f>
        <v>OK</v>
      </c>
      <c r="X117">
        <f t="shared" si="8"/>
        <v>1</v>
      </c>
      <c r="Y117">
        <f t="shared" si="9"/>
        <v>0.15</v>
      </c>
      <c r="Z117">
        <f t="shared" si="10"/>
        <v>758.77799999999991</v>
      </c>
      <c r="AA117">
        <f t="shared" si="11"/>
        <v>268.0379999999999</v>
      </c>
      <c r="AB117" s="6">
        <f t="shared" si="12"/>
        <v>0.35324956706704719</v>
      </c>
      <c r="AC117" t="str">
        <f t="shared" si="13"/>
        <v>December</v>
      </c>
      <c r="AD117">
        <f t="shared" si="14"/>
        <v>2024</v>
      </c>
      <c r="AE117" t="str">
        <f t="shared" si="15"/>
        <v>Clean</v>
      </c>
    </row>
    <row r="118" spans="1:31">
      <c r="A118" t="s">
        <v>457</v>
      </c>
      <c r="B118" s="3">
        <v>45703</v>
      </c>
      <c r="C118" s="3">
        <v>45707</v>
      </c>
      <c r="D118" t="s">
        <v>458</v>
      </c>
      <c r="E118" t="s">
        <v>62</v>
      </c>
      <c r="F118" t="s">
        <v>37</v>
      </c>
      <c r="G118" t="s">
        <v>2767</v>
      </c>
      <c r="H118" t="s">
        <v>72</v>
      </c>
      <c r="I118" t="s">
        <v>73</v>
      </c>
      <c r="J118" t="s">
        <v>28</v>
      </c>
      <c r="K118" t="s">
        <v>153</v>
      </c>
      <c r="L118" t="s">
        <v>459</v>
      </c>
      <c r="M118" t="s">
        <v>50</v>
      </c>
      <c r="N118">
        <v>9</v>
      </c>
      <c r="O118">
        <v>531.99</v>
      </c>
      <c r="P118">
        <v>0.25</v>
      </c>
      <c r="Q118">
        <v>3590.93</v>
      </c>
      <c r="R118">
        <v>3061.39</v>
      </c>
      <c r="S118">
        <v>529.54</v>
      </c>
      <c r="T118" t="s">
        <v>155</v>
      </c>
      <c r="U118" t="s">
        <v>68</v>
      </c>
      <c r="V118">
        <f>IF(OR(B118="Invalid Date",C118="Invalid Date"),"Invalid Date",C118-B118)</f>
        <v>4</v>
      </c>
      <c r="W118" s="4" t="str">
        <f>IF(OR(B118="Invalid Date",C118="Invalid Date"),"Invalid Date",IF(C118&lt;B118,"Invalid Shipping","OK"))</f>
        <v>OK</v>
      </c>
      <c r="X118">
        <f t="shared" si="8"/>
        <v>1</v>
      </c>
      <c r="Y118">
        <f t="shared" si="9"/>
        <v>0.25</v>
      </c>
      <c r="Z118">
        <f t="shared" si="10"/>
        <v>3590.9324999999999</v>
      </c>
      <c r="AA118">
        <f t="shared" si="11"/>
        <v>529.54250000000002</v>
      </c>
      <c r="AB118" s="6">
        <f t="shared" si="12"/>
        <v>0.14746657031286442</v>
      </c>
      <c r="AC118" t="str">
        <f t="shared" si="13"/>
        <v>February</v>
      </c>
      <c r="AD118">
        <f t="shared" si="14"/>
        <v>2025</v>
      </c>
      <c r="AE118" t="str">
        <f t="shared" si="15"/>
        <v>Warning</v>
      </c>
    </row>
    <row r="119" spans="1:31">
      <c r="A119" t="s">
        <v>460</v>
      </c>
      <c r="B119" s="3">
        <v>45337</v>
      </c>
      <c r="C119" s="3">
        <v>45339</v>
      </c>
      <c r="D119" t="s">
        <v>461</v>
      </c>
      <c r="E119" t="s">
        <v>36</v>
      </c>
      <c r="F119" t="s">
        <v>95</v>
      </c>
      <c r="G119" t="s">
        <v>54</v>
      </c>
      <c r="H119" t="s">
        <v>247</v>
      </c>
      <c r="I119" t="s">
        <v>248</v>
      </c>
      <c r="J119" t="s">
        <v>74</v>
      </c>
      <c r="K119" t="s">
        <v>274</v>
      </c>
      <c r="L119" t="s">
        <v>462</v>
      </c>
      <c r="M119" t="s">
        <v>59</v>
      </c>
      <c r="N119">
        <v>9</v>
      </c>
      <c r="O119">
        <v>3324.55</v>
      </c>
      <c r="P119" t="s">
        <v>463</v>
      </c>
      <c r="Q119">
        <v>25432.81</v>
      </c>
      <c r="R119">
        <v>20370.16</v>
      </c>
      <c r="S119">
        <v>5062.6499999999996</v>
      </c>
      <c r="T119" t="s">
        <v>32</v>
      </c>
      <c r="U119" t="s">
        <v>33</v>
      </c>
      <c r="V119">
        <f>IF(OR(B119="Invalid Date",C119="Invalid Date"),"Invalid Date",C119-B119)</f>
        <v>2</v>
      </c>
      <c r="W119" s="4" t="str">
        <f>IF(OR(B119="Invalid Date",C119="Invalid Date"),"Invalid Date",IF(C119&lt;B119,"Invalid Shipping","OK"))</f>
        <v>OK</v>
      </c>
      <c r="X119">
        <f t="shared" si="8"/>
        <v>1</v>
      </c>
      <c r="Y119" t="str">
        <f t="shared" si="9"/>
        <v>Invalid</v>
      </c>
      <c r="Z119" t="str">
        <f t="shared" si="10"/>
        <v/>
      </c>
      <c r="AA119" t="str">
        <f t="shared" si="11"/>
        <v/>
      </c>
      <c r="AB119" s="6" t="str">
        <f t="shared" si="12"/>
        <v/>
      </c>
      <c r="AC119" t="str">
        <f t="shared" si="13"/>
        <v>February</v>
      </c>
      <c r="AD119">
        <f t="shared" si="14"/>
        <v>2024</v>
      </c>
      <c r="AE119" t="str">
        <f t="shared" si="15"/>
        <v>Invalid</v>
      </c>
    </row>
    <row r="120" spans="1:31">
      <c r="A120" t="s">
        <v>464</v>
      </c>
      <c r="B120" s="3">
        <v>45571</v>
      </c>
      <c r="C120" s="3">
        <v>45461</v>
      </c>
      <c r="D120" t="s">
        <v>465</v>
      </c>
      <c r="E120" t="s">
        <v>71</v>
      </c>
      <c r="F120" t="s">
        <v>95</v>
      </c>
      <c r="G120" t="s">
        <v>54</v>
      </c>
      <c r="H120" t="s">
        <v>84</v>
      </c>
      <c r="I120" t="s">
        <v>85</v>
      </c>
      <c r="J120" t="s">
        <v>74</v>
      </c>
      <c r="K120" t="s">
        <v>80</v>
      </c>
      <c r="L120" t="s">
        <v>466</v>
      </c>
      <c r="M120" t="s">
        <v>44</v>
      </c>
      <c r="N120">
        <v>5</v>
      </c>
      <c r="O120">
        <v>1580.27</v>
      </c>
      <c r="P120">
        <v>0.2</v>
      </c>
      <c r="Q120">
        <v>6321.08</v>
      </c>
      <c r="R120">
        <v>4407.22</v>
      </c>
      <c r="S120">
        <v>1913.86</v>
      </c>
      <c r="T120" t="s">
        <v>32</v>
      </c>
      <c r="U120" t="s">
        <v>33</v>
      </c>
      <c r="V120">
        <f>IF(OR(B120="Invalid Date",C120="Invalid Date"),"Invalid Date",C120-B120)</f>
        <v>-110</v>
      </c>
      <c r="W120" s="4" t="str">
        <f>IF(OR(B120="Invalid Date",C120="Invalid Date"),"Invalid Date",IF(C120&lt;B120,"Invalid Shipping","OK"))</f>
        <v>Invalid Shipping</v>
      </c>
      <c r="X120">
        <f t="shared" si="8"/>
        <v>1</v>
      </c>
      <c r="Y120">
        <f t="shared" si="9"/>
        <v>0.2</v>
      </c>
      <c r="Z120">
        <f t="shared" si="10"/>
        <v>6321.0800000000008</v>
      </c>
      <c r="AA120">
        <f t="shared" si="11"/>
        <v>1913.8600000000006</v>
      </c>
      <c r="AB120" s="6">
        <f t="shared" si="12"/>
        <v>0.30277420947053357</v>
      </c>
      <c r="AC120" t="str">
        <f t="shared" si="13"/>
        <v>October</v>
      </c>
      <c r="AD120">
        <f t="shared" si="14"/>
        <v>2024</v>
      </c>
      <c r="AE120" t="str">
        <f t="shared" si="15"/>
        <v>Invalid</v>
      </c>
    </row>
    <row r="121" spans="1:31">
      <c r="A121" t="s">
        <v>467</v>
      </c>
      <c r="B121" s="3">
        <v>45455</v>
      </c>
      <c r="C121" s="3">
        <v>45462</v>
      </c>
      <c r="D121" t="s">
        <v>468</v>
      </c>
      <c r="E121" t="s">
        <v>89</v>
      </c>
      <c r="F121" t="s">
        <v>37</v>
      </c>
      <c r="G121" t="s">
        <v>54</v>
      </c>
      <c r="H121" t="s">
        <v>185</v>
      </c>
      <c r="I121" t="s">
        <v>186</v>
      </c>
      <c r="J121" t="s">
        <v>41</v>
      </c>
      <c r="K121" t="s">
        <v>66</v>
      </c>
      <c r="L121" t="s">
        <v>469</v>
      </c>
      <c r="M121" t="s">
        <v>59</v>
      </c>
      <c r="N121">
        <v>8</v>
      </c>
      <c r="O121">
        <v>314.05</v>
      </c>
      <c r="P121">
        <v>0.25</v>
      </c>
      <c r="Q121">
        <v>1884.3</v>
      </c>
      <c r="R121">
        <v>1517.69</v>
      </c>
      <c r="S121">
        <v>366.61</v>
      </c>
      <c r="T121" t="s">
        <v>102</v>
      </c>
      <c r="U121" t="s">
        <v>103</v>
      </c>
      <c r="V121">
        <f>IF(OR(B121="Invalid Date",C121="Invalid Date"),"Invalid Date",C121-B121)</f>
        <v>7</v>
      </c>
      <c r="W121" s="4" t="str">
        <f>IF(OR(B121="Invalid Date",C121="Invalid Date"),"Invalid Date",IF(C121&lt;B121,"Invalid Shipping","OK"))</f>
        <v>OK</v>
      </c>
      <c r="X121">
        <f t="shared" si="8"/>
        <v>1</v>
      </c>
      <c r="Y121">
        <f t="shared" si="9"/>
        <v>0.25</v>
      </c>
      <c r="Z121">
        <f t="shared" si="10"/>
        <v>1884.3000000000002</v>
      </c>
      <c r="AA121">
        <f t="shared" si="11"/>
        <v>366.61000000000013</v>
      </c>
      <c r="AB121" s="6">
        <f t="shared" si="12"/>
        <v>0.19456031417502526</v>
      </c>
      <c r="AC121" t="str">
        <f t="shared" si="13"/>
        <v>June</v>
      </c>
      <c r="AD121">
        <f t="shared" si="14"/>
        <v>2024</v>
      </c>
      <c r="AE121" t="str">
        <f t="shared" si="15"/>
        <v>Clean</v>
      </c>
    </row>
    <row r="122" spans="1:31">
      <c r="A122" t="s">
        <v>470</v>
      </c>
      <c r="B122" s="3">
        <v>45514</v>
      </c>
      <c r="C122" s="3">
        <v>45522</v>
      </c>
      <c r="D122" t="s">
        <v>471</v>
      </c>
      <c r="E122" t="s">
        <v>132</v>
      </c>
      <c r="F122" t="s">
        <v>37</v>
      </c>
      <c r="G122" t="s">
        <v>38</v>
      </c>
      <c r="H122" t="s">
        <v>145</v>
      </c>
      <c r="I122" t="s">
        <v>146</v>
      </c>
      <c r="J122" t="s">
        <v>74</v>
      </c>
      <c r="K122" t="s">
        <v>171</v>
      </c>
      <c r="L122" t="s">
        <v>472</v>
      </c>
      <c r="M122" t="s">
        <v>59</v>
      </c>
      <c r="N122">
        <v>1</v>
      </c>
      <c r="O122">
        <v>1823.67</v>
      </c>
      <c r="P122">
        <v>0.2</v>
      </c>
      <c r="Q122">
        <v>1458.94</v>
      </c>
      <c r="R122">
        <v>893.2</v>
      </c>
      <c r="S122">
        <v>565.74</v>
      </c>
      <c r="T122" t="s">
        <v>32</v>
      </c>
      <c r="U122" t="s">
        <v>103</v>
      </c>
      <c r="V122">
        <f>IF(OR(B122="Invalid Date",C122="Invalid Date"),"Invalid Date",C122-B122)</f>
        <v>8</v>
      </c>
      <c r="W122" s="4" t="str">
        <f>IF(OR(B122="Invalid Date",C122="Invalid Date"),"Invalid Date",IF(C122&lt;B122,"Invalid Shipping","OK"))</f>
        <v>OK</v>
      </c>
      <c r="X122">
        <f t="shared" si="8"/>
        <v>1</v>
      </c>
      <c r="Y122">
        <f t="shared" si="9"/>
        <v>0.2</v>
      </c>
      <c r="Z122">
        <f t="shared" si="10"/>
        <v>1458.9360000000001</v>
      </c>
      <c r="AA122">
        <f t="shared" si="11"/>
        <v>565.7360000000001</v>
      </c>
      <c r="AB122" s="6">
        <f t="shared" si="12"/>
        <v>0.38777300717783375</v>
      </c>
      <c r="AC122" t="str">
        <f t="shared" si="13"/>
        <v>August</v>
      </c>
      <c r="AD122">
        <f t="shared" si="14"/>
        <v>2024</v>
      </c>
      <c r="AE122" t="str">
        <f t="shared" si="15"/>
        <v>Clean</v>
      </c>
    </row>
    <row r="123" spans="1:31">
      <c r="A123" t="s">
        <v>473</v>
      </c>
      <c r="B123" s="3" t="s">
        <v>2763</v>
      </c>
      <c r="C123" s="3" t="s">
        <v>2763</v>
      </c>
      <c r="D123" t="s">
        <v>474</v>
      </c>
      <c r="E123" t="s">
        <v>264</v>
      </c>
      <c r="F123" t="s">
        <v>37</v>
      </c>
      <c r="G123" t="s">
        <v>54</v>
      </c>
      <c r="H123" t="s">
        <v>84</v>
      </c>
      <c r="I123" t="s">
        <v>85</v>
      </c>
      <c r="J123" t="s">
        <v>74</v>
      </c>
      <c r="K123" t="s">
        <v>274</v>
      </c>
      <c r="L123" t="s">
        <v>475</v>
      </c>
      <c r="M123" t="s">
        <v>31</v>
      </c>
      <c r="N123">
        <v>5</v>
      </c>
      <c r="O123">
        <v>3482.92</v>
      </c>
      <c r="P123">
        <v>0</v>
      </c>
      <c r="Q123">
        <v>17414.599999999999</v>
      </c>
      <c r="R123">
        <v>11760.91</v>
      </c>
      <c r="S123">
        <v>5653.69</v>
      </c>
      <c r="T123" t="s">
        <v>102</v>
      </c>
      <c r="U123" t="s">
        <v>68</v>
      </c>
      <c r="V123" t="str">
        <f>IF(OR(B123="Invalid Date",C123="Invalid Date"),"Invalid Date",C123-B123)</f>
        <v>Invalid Date</v>
      </c>
      <c r="W123" s="4" t="str">
        <f>IF(OR(B123="Invalid Date",C123="Invalid Date"),"Invalid Date",IF(C123&lt;B123,"Invalid Shipping","OK"))</f>
        <v>Invalid Date</v>
      </c>
      <c r="X123">
        <f t="shared" si="8"/>
        <v>1</v>
      </c>
      <c r="Y123">
        <f t="shared" si="9"/>
        <v>0</v>
      </c>
      <c r="Z123">
        <f t="shared" si="10"/>
        <v>17414.599999999999</v>
      </c>
      <c r="AA123">
        <f t="shared" si="11"/>
        <v>5653.6899999999987</v>
      </c>
      <c r="AB123" s="6">
        <f t="shared" si="12"/>
        <v>0.3246523032398102</v>
      </c>
      <c r="AC123" t="str">
        <f t="shared" si="13"/>
        <v/>
      </c>
      <c r="AD123" t="str">
        <f t="shared" si="14"/>
        <v/>
      </c>
      <c r="AE123" t="str">
        <f t="shared" si="15"/>
        <v>Invalid</v>
      </c>
    </row>
    <row r="124" spans="1:31">
      <c r="A124" t="s">
        <v>476</v>
      </c>
      <c r="B124" s="3" t="s">
        <v>2763</v>
      </c>
      <c r="C124" s="3">
        <v>45630</v>
      </c>
      <c r="D124" t="s">
        <v>477</v>
      </c>
      <c r="E124" t="s">
        <v>62</v>
      </c>
      <c r="F124" t="s">
        <v>37</v>
      </c>
      <c r="G124" t="s">
        <v>38</v>
      </c>
      <c r="H124" t="s">
        <v>166</v>
      </c>
      <c r="I124" t="s">
        <v>167</v>
      </c>
      <c r="J124" t="s">
        <v>41</v>
      </c>
      <c r="K124" t="s">
        <v>66</v>
      </c>
      <c r="L124" t="s">
        <v>478</v>
      </c>
      <c r="M124" t="s">
        <v>31</v>
      </c>
      <c r="N124">
        <v>3</v>
      </c>
      <c r="O124">
        <v>170.35</v>
      </c>
      <c r="P124">
        <v>0</v>
      </c>
      <c r="Q124">
        <v>511.05</v>
      </c>
      <c r="R124">
        <v>367.18</v>
      </c>
      <c r="S124">
        <v>143.87</v>
      </c>
      <c r="T124" t="s">
        <v>32</v>
      </c>
      <c r="U124" t="s">
        <v>33</v>
      </c>
      <c r="V124" t="str">
        <f>IF(OR(B124="Invalid Date",C124="Invalid Date"),"Invalid Date",C124-B124)</f>
        <v>Invalid Date</v>
      </c>
      <c r="W124" s="4" t="str">
        <f>IF(OR(B124="Invalid Date",C124="Invalid Date"),"Invalid Date",IF(C124&lt;B124,"Invalid Shipping","OK"))</f>
        <v>Invalid Date</v>
      </c>
      <c r="X124">
        <f t="shared" si="8"/>
        <v>1</v>
      </c>
      <c r="Y124">
        <f t="shared" si="9"/>
        <v>0</v>
      </c>
      <c r="Z124">
        <f t="shared" si="10"/>
        <v>511.04999999999995</v>
      </c>
      <c r="AA124">
        <f t="shared" si="11"/>
        <v>143.86999999999995</v>
      </c>
      <c r="AB124" s="6">
        <f t="shared" si="12"/>
        <v>0.28151844242246349</v>
      </c>
      <c r="AC124" t="str">
        <f t="shared" si="13"/>
        <v/>
      </c>
      <c r="AD124" t="str">
        <f t="shared" si="14"/>
        <v/>
      </c>
      <c r="AE124" t="str">
        <f t="shared" si="15"/>
        <v>Invalid</v>
      </c>
    </row>
    <row r="125" spans="1:31">
      <c r="A125" t="s">
        <v>479</v>
      </c>
      <c r="B125" s="3" t="s">
        <v>2763</v>
      </c>
      <c r="C125" s="3">
        <v>45437</v>
      </c>
      <c r="D125" t="s">
        <v>480</v>
      </c>
      <c r="E125" t="s">
        <v>132</v>
      </c>
      <c r="F125" t="s">
        <v>37</v>
      </c>
      <c r="G125" t="s">
        <v>25</v>
      </c>
      <c r="H125" t="s">
        <v>122</v>
      </c>
      <c r="I125" t="s">
        <v>123</v>
      </c>
      <c r="J125" t="s">
        <v>74</v>
      </c>
      <c r="K125" t="s">
        <v>80</v>
      </c>
      <c r="L125" t="s">
        <v>481</v>
      </c>
      <c r="M125" t="s">
        <v>44</v>
      </c>
      <c r="N125">
        <v>1</v>
      </c>
      <c r="O125">
        <v>634.13</v>
      </c>
      <c r="P125">
        <v>0</v>
      </c>
      <c r="Q125">
        <v>634.13</v>
      </c>
      <c r="R125">
        <v>453.35</v>
      </c>
      <c r="S125">
        <v>180.78</v>
      </c>
      <c r="T125" t="s">
        <v>102</v>
      </c>
      <c r="U125" t="s">
        <v>68</v>
      </c>
      <c r="V125" t="str">
        <f>IF(OR(B125="Invalid Date",C125="Invalid Date"),"Invalid Date",C125-B125)</f>
        <v>Invalid Date</v>
      </c>
      <c r="W125" s="4" t="str">
        <f>IF(OR(B125="Invalid Date",C125="Invalid Date"),"Invalid Date",IF(C125&lt;B125,"Invalid Shipping","OK"))</f>
        <v>Invalid Date</v>
      </c>
      <c r="X125">
        <f t="shared" si="8"/>
        <v>2</v>
      </c>
      <c r="Y125">
        <f t="shared" si="9"/>
        <v>0</v>
      </c>
      <c r="Z125">
        <f t="shared" si="10"/>
        <v>634.13</v>
      </c>
      <c r="AA125">
        <f t="shared" si="11"/>
        <v>180.77999999999997</v>
      </c>
      <c r="AB125" s="6">
        <f t="shared" si="12"/>
        <v>0.28508350022865969</v>
      </c>
      <c r="AC125" t="str">
        <f t="shared" si="13"/>
        <v/>
      </c>
      <c r="AD125" t="str">
        <f t="shared" si="14"/>
        <v/>
      </c>
      <c r="AE125" t="str">
        <f t="shared" si="15"/>
        <v>Invalid</v>
      </c>
    </row>
    <row r="126" spans="1:31">
      <c r="A126" t="s">
        <v>482</v>
      </c>
      <c r="B126" s="3">
        <v>45494</v>
      </c>
      <c r="C126" s="3" t="s">
        <v>2763</v>
      </c>
      <c r="D126" t="s">
        <v>483</v>
      </c>
      <c r="E126" t="s">
        <v>47</v>
      </c>
      <c r="F126" t="s">
        <v>90</v>
      </c>
      <c r="G126" t="s">
        <v>54</v>
      </c>
      <c r="H126" t="s">
        <v>175</v>
      </c>
      <c r="I126" t="s">
        <v>176</v>
      </c>
      <c r="J126" t="s">
        <v>74</v>
      </c>
      <c r="K126" t="s">
        <v>80</v>
      </c>
      <c r="L126" t="s">
        <v>484</v>
      </c>
      <c r="M126" t="s">
        <v>59</v>
      </c>
      <c r="N126">
        <v>9</v>
      </c>
      <c r="O126">
        <v>465.06</v>
      </c>
      <c r="P126">
        <v>-0.15</v>
      </c>
      <c r="Q126">
        <v>4185.54</v>
      </c>
      <c r="R126">
        <v>3443.74</v>
      </c>
      <c r="S126">
        <v>741.8</v>
      </c>
      <c r="T126" t="s">
        <v>32</v>
      </c>
      <c r="U126" t="s">
        <v>33</v>
      </c>
      <c r="V126" t="str">
        <f>IF(OR(B126="Invalid Date",C126="Invalid Date"),"Invalid Date",C126-B126)</f>
        <v>Invalid Date</v>
      </c>
      <c r="W126" s="4" t="str">
        <f>IF(OR(B126="Invalid Date",C126="Invalid Date"),"Invalid Date",IF(C126&lt;B126,"Invalid Shipping","OK"))</f>
        <v>Invalid Date</v>
      </c>
      <c r="X126">
        <f t="shared" si="8"/>
        <v>1</v>
      </c>
      <c r="Y126" t="str">
        <f t="shared" si="9"/>
        <v>Invalid</v>
      </c>
      <c r="Z126" t="str">
        <f t="shared" si="10"/>
        <v/>
      </c>
      <c r="AA126" t="str">
        <f t="shared" si="11"/>
        <v/>
      </c>
      <c r="AB126" s="6" t="str">
        <f t="shared" si="12"/>
        <v/>
      </c>
      <c r="AC126" t="str">
        <f t="shared" si="13"/>
        <v>July</v>
      </c>
      <c r="AD126">
        <f t="shared" si="14"/>
        <v>2024</v>
      </c>
      <c r="AE126" t="str">
        <f t="shared" si="15"/>
        <v>Invalid</v>
      </c>
    </row>
    <row r="127" spans="1:31">
      <c r="A127" t="s">
        <v>485</v>
      </c>
      <c r="B127" s="3">
        <v>45855</v>
      </c>
      <c r="C127" s="3">
        <v>45856</v>
      </c>
      <c r="D127" t="s">
        <v>486</v>
      </c>
      <c r="E127" t="s">
        <v>79</v>
      </c>
      <c r="F127" t="s">
        <v>37</v>
      </c>
      <c r="G127" t="s">
        <v>63</v>
      </c>
      <c r="H127" t="s">
        <v>26</v>
      </c>
      <c r="I127" t="s">
        <v>109</v>
      </c>
      <c r="J127" t="s">
        <v>41</v>
      </c>
      <c r="K127" t="s">
        <v>42</v>
      </c>
      <c r="L127" t="s">
        <v>487</v>
      </c>
      <c r="M127" t="s">
        <v>44</v>
      </c>
      <c r="N127">
        <v>6</v>
      </c>
      <c r="O127">
        <v>3235.27</v>
      </c>
      <c r="P127">
        <v>0.25</v>
      </c>
      <c r="Q127">
        <v>14558.72</v>
      </c>
      <c r="R127">
        <v>9591.48</v>
      </c>
      <c r="S127">
        <v>4967.24</v>
      </c>
      <c r="T127" t="s">
        <v>102</v>
      </c>
      <c r="U127" t="s">
        <v>103</v>
      </c>
      <c r="V127">
        <f>IF(OR(B127="Invalid Date",C127="Invalid Date"),"Invalid Date",C127-B127)</f>
        <v>1</v>
      </c>
      <c r="W127" s="4" t="str">
        <f>IF(OR(B127="Invalid Date",C127="Invalid Date"),"Invalid Date",IF(C127&lt;B127,"Invalid Shipping","OK"))</f>
        <v>OK</v>
      </c>
      <c r="X127">
        <f t="shared" si="8"/>
        <v>1</v>
      </c>
      <c r="Y127">
        <f t="shared" si="9"/>
        <v>0.25</v>
      </c>
      <c r="Z127">
        <f t="shared" si="10"/>
        <v>14558.715</v>
      </c>
      <c r="AA127">
        <f t="shared" si="11"/>
        <v>4967.2350000000006</v>
      </c>
      <c r="AB127" s="6">
        <f t="shared" si="12"/>
        <v>0.34118636157105903</v>
      </c>
      <c r="AC127" t="str">
        <f t="shared" si="13"/>
        <v>July</v>
      </c>
      <c r="AD127">
        <f t="shared" si="14"/>
        <v>2025</v>
      </c>
      <c r="AE127" t="str">
        <f t="shared" si="15"/>
        <v>Clean</v>
      </c>
    </row>
    <row r="128" spans="1:31">
      <c r="A128" t="s">
        <v>488</v>
      </c>
      <c r="B128" s="3">
        <v>45924</v>
      </c>
      <c r="C128" s="3">
        <v>45926</v>
      </c>
      <c r="D128" t="s">
        <v>489</v>
      </c>
      <c r="E128" t="s">
        <v>114</v>
      </c>
      <c r="F128" t="s">
        <v>90</v>
      </c>
      <c r="G128" t="s">
        <v>25</v>
      </c>
      <c r="H128" t="s">
        <v>350</v>
      </c>
      <c r="I128" t="s">
        <v>351</v>
      </c>
      <c r="J128" t="s">
        <v>74</v>
      </c>
      <c r="K128" t="s">
        <v>80</v>
      </c>
      <c r="L128" t="s">
        <v>490</v>
      </c>
      <c r="M128" t="s">
        <v>59</v>
      </c>
      <c r="N128">
        <v>3</v>
      </c>
      <c r="O128">
        <v>1593.86</v>
      </c>
      <c r="P128">
        <v>0.1</v>
      </c>
      <c r="Q128">
        <v>4303.42</v>
      </c>
      <c r="R128">
        <v>2568.5700000000002</v>
      </c>
      <c r="S128">
        <v>1734.85</v>
      </c>
      <c r="T128" t="s">
        <v>32</v>
      </c>
      <c r="U128" t="s">
        <v>33</v>
      </c>
      <c r="V128">
        <f>IF(OR(B128="Invalid Date",C128="Invalid Date"),"Invalid Date",C128-B128)</f>
        <v>2</v>
      </c>
      <c r="W128" s="4" t="str">
        <f>IF(OR(B128="Invalid Date",C128="Invalid Date"),"Invalid Date",IF(C128&lt;B128,"Invalid Shipping","OK"))</f>
        <v>OK</v>
      </c>
      <c r="X128">
        <f t="shared" si="8"/>
        <v>1</v>
      </c>
      <c r="Y128">
        <f t="shared" si="9"/>
        <v>0.1</v>
      </c>
      <c r="Z128">
        <f t="shared" si="10"/>
        <v>4303.4220000000005</v>
      </c>
      <c r="AA128">
        <f t="shared" si="11"/>
        <v>1734.8520000000003</v>
      </c>
      <c r="AB128" s="6">
        <f t="shared" si="12"/>
        <v>0.40313313451481175</v>
      </c>
      <c r="AC128" t="str">
        <f t="shared" si="13"/>
        <v>September</v>
      </c>
      <c r="AD128">
        <f t="shared" si="14"/>
        <v>2025</v>
      </c>
      <c r="AE128" t="str">
        <f t="shared" si="15"/>
        <v>Clean</v>
      </c>
    </row>
    <row r="129" spans="1:31">
      <c r="A129" t="s">
        <v>491</v>
      </c>
      <c r="B129" s="3" t="s">
        <v>2763</v>
      </c>
      <c r="C129" s="3">
        <v>45683</v>
      </c>
      <c r="D129" t="s">
        <v>492</v>
      </c>
      <c r="E129" t="s">
        <v>114</v>
      </c>
      <c r="F129" t="s">
        <v>90</v>
      </c>
      <c r="G129" t="s">
        <v>63</v>
      </c>
      <c r="H129" t="s">
        <v>72</v>
      </c>
      <c r="I129" t="s">
        <v>73</v>
      </c>
      <c r="J129" t="s">
        <v>28</v>
      </c>
      <c r="K129" t="s">
        <v>124</v>
      </c>
      <c r="L129" t="s">
        <v>493</v>
      </c>
      <c r="M129" t="s">
        <v>31</v>
      </c>
      <c r="N129">
        <v>2</v>
      </c>
      <c r="O129">
        <v>3039.3</v>
      </c>
      <c r="P129">
        <v>0.05</v>
      </c>
      <c r="Q129">
        <v>5774.67</v>
      </c>
      <c r="R129">
        <v>3518.36</v>
      </c>
      <c r="S129">
        <v>2256.31</v>
      </c>
      <c r="T129" t="s">
        <v>32</v>
      </c>
      <c r="U129" t="s">
        <v>33</v>
      </c>
      <c r="V129" t="str">
        <f>IF(OR(B129="Invalid Date",C129="Invalid Date"),"Invalid Date",C129-B129)</f>
        <v>Invalid Date</v>
      </c>
      <c r="W129" s="4" t="str">
        <f>IF(OR(B129="Invalid Date",C129="Invalid Date"),"Invalid Date",IF(C129&lt;B129,"Invalid Shipping","OK"))</f>
        <v>Invalid Date</v>
      </c>
      <c r="X129">
        <f t="shared" si="8"/>
        <v>1</v>
      </c>
      <c r="Y129">
        <f t="shared" si="9"/>
        <v>0.05</v>
      </c>
      <c r="Z129">
        <f t="shared" si="10"/>
        <v>5774.67</v>
      </c>
      <c r="AA129">
        <f t="shared" si="11"/>
        <v>2256.31</v>
      </c>
      <c r="AB129" s="6">
        <f t="shared" si="12"/>
        <v>0.39072535746631409</v>
      </c>
      <c r="AC129" t="str">
        <f t="shared" si="13"/>
        <v/>
      </c>
      <c r="AD129" t="str">
        <f t="shared" si="14"/>
        <v/>
      </c>
      <c r="AE129" t="str">
        <f t="shared" si="15"/>
        <v>Invalid</v>
      </c>
    </row>
    <row r="130" spans="1:31">
      <c r="A130" t="s">
        <v>494</v>
      </c>
      <c r="B130" s="3">
        <v>45639</v>
      </c>
      <c r="C130" s="3">
        <v>45642</v>
      </c>
      <c r="D130" t="s">
        <v>495</v>
      </c>
      <c r="E130" t="s">
        <v>79</v>
      </c>
      <c r="F130" t="s">
        <v>37</v>
      </c>
      <c r="G130" t="s">
        <v>38</v>
      </c>
      <c r="H130" t="s">
        <v>39</v>
      </c>
      <c r="I130" t="s">
        <v>40</v>
      </c>
      <c r="J130" t="s">
        <v>41</v>
      </c>
      <c r="K130" t="s">
        <v>57</v>
      </c>
      <c r="L130" t="s">
        <v>496</v>
      </c>
      <c r="M130" t="s">
        <v>59</v>
      </c>
      <c r="N130">
        <v>5</v>
      </c>
      <c r="O130">
        <v>923.45</v>
      </c>
      <c r="P130">
        <v>0.05</v>
      </c>
      <c r="Q130">
        <v>4386.3900000000003</v>
      </c>
      <c r="R130">
        <v>3366.88</v>
      </c>
      <c r="S130">
        <v>1019.51</v>
      </c>
      <c r="T130" t="s">
        <v>32</v>
      </c>
      <c r="U130" t="s">
        <v>103</v>
      </c>
      <c r="V130">
        <f>IF(OR(B130="Invalid Date",C130="Invalid Date"),"Invalid Date",C130-B130)</f>
        <v>3</v>
      </c>
      <c r="W130" s="4" t="str">
        <f>IF(OR(B130="Invalid Date",C130="Invalid Date"),"Invalid Date",IF(C130&lt;B130,"Invalid Shipping","OK"))</f>
        <v>OK</v>
      </c>
      <c r="X130">
        <f t="shared" si="8"/>
        <v>1</v>
      </c>
      <c r="Y130">
        <f t="shared" si="9"/>
        <v>0.05</v>
      </c>
      <c r="Z130">
        <f t="shared" si="10"/>
        <v>4386.3874999999998</v>
      </c>
      <c r="AA130">
        <f t="shared" si="11"/>
        <v>1019.5074999999997</v>
      </c>
      <c r="AB130" s="6">
        <f t="shared" si="12"/>
        <v>0.2324253158208206</v>
      </c>
      <c r="AC130" t="str">
        <f t="shared" si="13"/>
        <v>December</v>
      </c>
      <c r="AD130">
        <f t="shared" si="14"/>
        <v>2024</v>
      </c>
      <c r="AE130" t="str">
        <f t="shared" si="15"/>
        <v>Clean</v>
      </c>
    </row>
    <row r="131" spans="1:31">
      <c r="A131" t="s">
        <v>497</v>
      </c>
      <c r="B131" s="3">
        <v>45492</v>
      </c>
      <c r="C131" s="3">
        <v>45498</v>
      </c>
      <c r="D131" t="s">
        <v>498</v>
      </c>
      <c r="E131" t="s">
        <v>47</v>
      </c>
      <c r="F131" t="s">
        <v>37</v>
      </c>
      <c r="G131" t="s">
        <v>63</v>
      </c>
      <c r="H131" t="s">
        <v>190</v>
      </c>
      <c r="I131" t="s">
        <v>191</v>
      </c>
      <c r="J131" t="s">
        <v>28</v>
      </c>
      <c r="K131" t="s">
        <v>153</v>
      </c>
      <c r="L131" t="s">
        <v>499</v>
      </c>
      <c r="M131" t="s">
        <v>59</v>
      </c>
      <c r="N131">
        <v>7</v>
      </c>
      <c r="O131">
        <v>2741.29</v>
      </c>
      <c r="P131">
        <v>0.05</v>
      </c>
      <c r="Q131">
        <v>18229.580000000002</v>
      </c>
      <c r="R131">
        <v>15139.15</v>
      </c>
      <c r="S131">
        <v>3090.43</v>
      </c>
      <c r="T131" t="s">
        <v>32</v>
      </c>
      <c r="U131" t="s">
        <v>33</v>
      </c>
      <c r="V131">
        <f>IF(OR(B131="Invalid Date",C131="Invalid Date"),"Invalid Date",C131-B131)</f>
        <v>6</v>
      </c>
      <c r="W131" s="4" t="str">
        <f>IF(OR(B131="Invalid Date",C131="Invalid Date"),"Invalid Date",IF(C131&lt;B131,"Invalid Shipping","OK"))</f>
        <v>OK</v>
      </c>
      <c r="X131">
        <f t="shared" ref="X131:X194" si="16">COUNTIF($A:$A,A131)</f>
        <v>1</v>
      </c>
      <c r="Y131">
        <f t="shared" ref="Y131:Y194" si="17">IF(P131="",0,IF(OR(P131&lt;0,P131&gt;1),"Invalid",P131))</f>
        <v>0.05</v>
      </c>
      <c r="Z131">
        <f t="shared" ref="Z131:Z194" si="18">IF(ISTEXT(Y131),"",N131*O131*(1-Y131))</f>
        <v>18229.5785</v>
      </c>
      <c r="AA131">
        <f t="shared" ref="AA131:AA194" si="19">IF(Z131="","",Z131-R131)</f>
        <v>3090.4285</v>
      </c>
      <c r="AB131" s="6">
        <f t="shared" ref="AB131:AB194" si="20">IF(OR(Z131="",Z131=0),"",AA131/Z131)</f>
        <v>0.16952824773211295</v>
      </c>
      <c r="AC131" t="str">
        <f t="shared" ref="AC131:AC194" si="21">IF(ISNUMBER(B131),TEXT(B131,"mmmm"),"")</f>
        <v>July</v>
      </c>
      <c r="AD131">
        <f t="shared" ref="AD131:AD194" si="22">IF(ISNUMBER(B131),YEAR(B131),"")</f>
        <v>2024</v>
      </c>
      <c r="AE131" t="str">
        <f t="shared" ref="AE131:AE194" si="23">IF(OR(B131="Invalid Date",C131="Invalid Date",W131="Invalid Date",W131="Invalid Shipping",Y131="Invalid"),"Invalid",IF(OR(G131="Unknown",M131="Unknown"),"Warning","Clean"))</f>
        <v>Clean</v>
      </c>
    </row>
    <row r="132" spans="1:31">
      <c r="A132" t="s">
        <v>500</v>
      </c>
      <c r="B132" s="3">
        <v>45318</v>
      </c>
      <c r="C132" s="3">
        <v>45324</v>
      </c>
      <c r="D132" t="s">
        <v>501</v>
      </c>
      <c r="E132" t="s">
        <v>53</v>
      </c>
      <c r="F132" t="s">
        <v>24</v>
      </c>
      <c r="G132" t="s">
        <v>63</v>
      </c>
      <c r="H132" t="s">
        <v>180</v>
      </c>
      <c r="I132" t="s">
        <v>181</v>
      </c>
      <c r="J132" t="s">
        <v>28</v>
      </c>
      <c r="K132" t="s">
        <v>91</v>
      </c>
      <c r="L132" t="s">
        <v>502</v>
      </c>
      <c r="M132" t="s">
        <v>44</v>
      </c>
      <c r="N132">
        <v>5</v>
      </c>
      <c r="O132">
        <v>218.42</v>
      </c>
      <c r="P132">
        <v>0.2</v>
      </c>
      <c r="Q132">
        <v>873.68</v>
      </c>
      <c r="R132">
        <v>661.72</v>
      </c>
      <c r="S132">
        <v>211.96</v>
      </c>
      <c r="T132" t="s">
        <v>111</v>
      </c>
      <c r="U132" t="s">
        <v>68</v>
      </c>
      <c r="V132">
        <f>IF(OR(B132="Invalid Date",C132="Invalid Date"),"Invalid Date",C132-B132)</f>
        <v>6</v>
      </c>
      <c r="W132" s="4" t="str">
        <f>IF(OR(B132="Invalid Date",C132="Invalid Date"),"Invalid Date",IF(C132&lt;B132,"Invalid Shipping","OK"))</f>
        <v>OK</v>
      </c>
      <c r="X132">
        <f t="shared" si="16"/>
        <v>1</v>
      </c>
      <c r="Y132">
        <f t="shared" si="17"/>
        <v>0.2</v>
      </c>
      <c r="Z132">
        <f t="shared" si="18"/>
        <v>873.68</v>
      </c>
      <c r="AA132">
        <f t="shared" si="19"/>
        <v>211.95999999999992</v>
      </c>
      <c r="AB132" s="6">
        <f t="shared" si="20"/>
        <v>0.24260598846259493</v>
      </c>
      <c r="AC132" t="str">
        <f t="shared" si="21"/>
        <v>January</v>
      </c>
      <c r="AD132">
        <f t="shared" si="22"/>
        <v>2024</v>
      </c>
      <c r="AE132" t="str">
        <f t="shared" si="23"/>
        <v>Clean</v>
      </c>
    </row>
    <row r="133" spans="1:31">
      <c r="A133" t="s">
        <v>503</v>
      </c>
      <c r="B133" s="3" t="s">
        <v>2763</v>
      </c>
      <c r="C133" s="3">
        <v>45934</v>
      </c>
      <c r="D133" t="s">
        <v>504</v>
      </c>
      <c r="E133" t="s">
        <v>62</v>
      </c>
      <c r="F133" t="s">
        <v>95</v>
      </c>
      <c r="G133" t="s">
        <v>38</v>
      </c>
      <c r="H133" t="s">
        <v>228</v>
      </c>
      <c r="I133" t="s">
        <v>229</v>
      </c>
      <c r="J133" t="s">
        <v>28</v>
      </c>
      <c r="K133" t="s">
        <v>29</v>
      </c>
      <c r="L133" t="s">
        <v>505</v>
      </c>
      <c r="M133" t="s">
        <v>44</v>
      </c>
      <c r="N133">
        <v>9</v>
      </c>
      <c r="O133">
        <v>373.91</v>
      </c>
      <c r="P133">
        <v>0.2</v>
      </c>
      <c r="Q133">
        <v>2692.15</v>
      </c>
      <c r="R133">
        <v>2044.49</v>
      </c>
      <c r="S133">
        <v>647.66</v>
      </c>
      <c r="T133" t="s">
        <v>32</v>
      </c>
      <c r="U133" t="s">
        <v>33</v>
      </c>
      <c r="V133" t="str">
        <f>IF(OR(B133="Invalid Date",C133="Invalid Date"),"Invalid Date",C133-B133)</f>
        <v>Invalid Date</v>
      </c>
      <c r="W133" s="4" t="str">
        <f>IF(OR(B133="Invalid Date",C133="Invalid Date"),"Invalid Date",IF(C133&lt;B133,"Invalid Shipping","OK"))</f>
        <v>Invalid Date</v>
      </c>
      <c r="X133">
        <f t="shared" si="16"/>
        <v>1</v>
      </c>
      <c r="Y133">
        <f t="shared" si="17"/>
        <v>0.2</v>
      </c>
      <c r="Z133">
        <f t="shared" si="18"/>
        <v>2692.152</v>
      </c>
      <c r="AA133">
        <f t="shared" si="19"/>
        <v>647.66200000000003</v>
      </c>
      <c r="AB133" s="6">
        <f t="shared" si="20"/>
        <v>0.24057408348414205</v>
      </c>
      <c r="AC133" t="str">
        <f t="shared" si="21"/>
        <v/>
      </c>
      <c r="AD133" t="str">
        <f t="shared" si="22"/>
        <v/>
      </c>
      <c r="AE133" t="str">
        <f t="shared" si="23"/>
        <v>Invalid</v>
      </c>
    </row>
    <row r="134" spans="1:31">
      <c r="A134" t="s">
        <v>506</v>
      </c>
      <c r="B134" s="3">
        <v>45600</v>
      </c>
      <c r="C134" s="3">
        <v>45600</v>
      </c>
      <c r="D134" t="s">
        <v>507</v>
      </c>
      <c r="E134" t="s">
        <v>264</v>
      </c>
      <c r="F134" t="s">
        <v>90</v>
      </c>
      <c r="G134" t="s">
        <v>38</v>
      </c>
      <c r="H134" t="s">
        <v>166</v>
      </c>
      <c r="I134" t="s">
        <v>167</v>
      </c>
      <c r="J134" t="s">
        <v>74</v>
      </c>
      <c r="K134" t="s">
        <v>274</v>
      </c>
      <c r="L134" t="s">
        <v>508</v>
      </c>
      <c r="M134" t="s">
        <v>50</v>
      </c>
      <c r="N134">
        <v>2</v>
      </c>
      <c r="O134">
        <v>533.08000000000004</v>
      </c>
      <c r="P134">
        <v>0</v>
      </c>
      <c r="Q134">
        <v>1066.1600000000001</v>
      </c>
      <c r="R134">
        <v>656.3</v>
      </c>
      <c r="S134">
        <v>409.86</v>
      </c>
      <c r="T134" t="s">
        <v>155</v>
      </c>
      <c r="U134" t="s">
        <v>68</v>
      </c>
      <c r="V134">
        <f>IF(OR(B134="Invalid Date",C134="Invalid Date"),"Invalid Date",C134-B134)</f>
        <v>0</v>
      </c>
      <c r="W134" s="4" t="str">
        <f>IF(OR(B134="Invalid Date",C134="Invalid Date"),"Invalid Date",IF(C134&lt;B134,"Invalid Shipping","OK"))</f>
        <v>OK</v>
      </c>
      <c r="X134">
        <f t="shared" si="16"/>
        <v>1</v>
      </c>
      <c r="Y134">
        <f t="shared" si="17"/>
        <v>0</v>
      </c>
      <c r="Z134">
        <f t="shared" si="18"/>
        <v>1066.1600000000001</v>
      </c>
      <c r="AA134">
        <f t="shared" si="19"/>
        <v>409.86000000000013</v>
      </c>
      <c r="AB134" s="6">
        <f t="shared" si="20"/>
        <v>0.38442635251744589</v>
      </c>
      <c r="AC134" t="str">
        <f t="shared" si="21"/>
        <v>November</v>
      </c>
      <c r="AD134">
        <f t="shared" si="22"/>
        <v>2024</v>
      </c>
      <c r="AE134" t="str">
        <f t="shared" si="23"/>
        <v>Clean</v>
      </c>
    </row>
    <row r="135" spans="1:31">
      <c r="A135" t="s">
        <v>509</v>
      </c>
      <c r="B135" s="3">
        <v>45639</v>
      </c>
      <c r="C135" s="3" t="s">
        <v>2763</v>
      </c>
      <c r="D135" t="s">
        <v>510</v>
      </c>
      <c r="E135" t="s">
        <v>23</v>
      </c>
      <c r="F135" t="s">
        <v>24</v>
      </c>
      <c r="G135" t="s">
        <v>63</v>
      </c>
      <c r="H135" t="s">
        <v>190</v>
      </c>
      <c r="I135" t="s">
        <v>191</v>
      </c>
      <c r="J135" t="s">
        <v>74</v>
      </c>
      <c r="K135" t="s">
        <v>171</v>
      </c>
      <c r="L135" t="s">
        <v>511</v>
      </c>
      <c r="M135" t="s">
        <v>31</v>
      </c>
      <c r="N135">
        <v>8</v>
      </c>
      <c r="O135">
        <v>3372.15</v>
      </c>
      <c r="P135">
        <v>0.15</v>
      </c>
      <c r="Q135">
        <v>22930.62</v>
      </c>
      <c r="R135">
        <v>16875.55</v>
      </c>
      <c r="S135">
        <v>6055.07</v>
      </c>
      <c r="T135" t="s">
        <v>32</v>
      </c>
      <c r="U135" t="s">
        <v>33</v>
      </c>
      <c r="V135" t="str">
        <f>IF(OR(B135="Invalid Date",C135="Invalid Date"),"Invalid Date",C135-B135)</f>
        <v>Invalid Date</v>
      </c>
      <c r="W135" s="4" t="str">
        <f>IF(OR(B135="Invalid Date",C135="Invalid Date"),"Invalid Date",IF(C135&lt;B135,"Invalid Shipping","OK"))</f>
        <v>Invalid Date</v>
      </c>
      <c r="X135">
        <f t="shared" si="16"/>
        <v>1</v>
      </c>
      <c r="Y135">
        <f t="shared" si="17"/>
        <v>0.15</v>
      </c>
      <c r="Z135">
        <f t="shared" si="18"/>
        <v>22930.62</v>
      </c>
      <c r="AA135">
        <f t="shared" si="19"/>
        <v>6055.07</v>
      </c>
      <c r="AB135" s="6">
        <f t="shared" si="20"/>
        <v>0.26406045715292475</v>
      </c>
      <c r="AC135" t="str">
        <f t="shared" si="21"/>
        <v>December</v>
      </c>
      <c r="AD135">
        <f t="shared" si="22"/>
        <v>2024</v>
      </c>
      <c r="AE135" t="str">
        <f t="shared" si="23"/>
        <v>Invalid</v>
      </c>
    </row>
    <row r="136" spans="1:31">
      <c r="A136" t="s">
        <v>512</v>
      </c>
      <c r="B136" s="3" t="s">
        <v>2763</v>
      </c>
      <c r="C136" s="3">
        <v>45852</v>
      </c>
      <c r="D136" t="s">
        <v>513</v>
      </c>
      <c r="E136" t="s">
        <v>71</v>
      </c>
      <c r="F136" t="s">
        <v>95</v>
      </c>
      <c r="G136" t="s">
        <v>38</v>
      </c>
      <c r="H136" t="s">
        <v>99</v>
      </c>
      <c r="I136" t="s">
        <v>100</v>
      </c>
      <c r="J136" t="s">
        <v>41</v>
      </c>
      <c r="K136" t="s">
        <v>158</v>
      </c>
      <c r="L136" t="s">
        <v>514</v>
      </c>
      <c r="M136" t="s">
        <v>2767</v>
      </c>
      <c r="N136">
        <v>5</v>
      </c>
      <c r="O136">
        <v>383.1</v>
      </c>
      <c r="P136">
        <v>0.25</v>
      </c>
      <c r="Q136">
        <v>1436.62</v>
      </c>
      <c r="R136">
        <v>912.52</v>
      </c>
      <c r="S136">
        <v>524.1</v>
      </c>
      <c r="T136" t="s">
        <v>111</v>
      </c>
      <c r="U136" t="s">
        <v>68</v>
      </c>
      <c r="V136" t="str">
        <f>IF(OR(B136="Invalid Date",C136="Invalid Date"),"Invalid Date",C136-B136)</f>
        <v>Invalid Date</v>
      </c>
      <c r="W136" s="4" t="str">
        <f>IF(OR(B136="Invalid Date",C136="Invalid Date"),"Invalid Date",IF(C136&lt;B136,"Invalid Shipping","OK"))</f>
        <v>Invalid Date</v>
      </c>
      <c r="X136">
        <f t="shared" si="16"/>
        <v>1</v>
      </c>
      <c r="Y136">
        <f t="shared" si="17"/>
        <v>0.25</v>
      </c>
      <c r="Z136">
        <f t="shared" si="18"/>
        <v>1436.625</v>
      </c>
      <c r="AA136">
        <f t="shared" si="19"/>
        <v>524.10500000000002</v>
      </c>
      <c r="AB136" s="6">
        <f t="shared" si="20"/>
        <v>0.36481684503610895</v>
      </c>
      <c r="AC136" t="str">
        <f t="shared" si="21"/>
        <v/>
      </c>
      <c r="AD136" t="str">
        <f t="shared" si="22"/>
        <v/>
      </c>
      <c r="AE136" t="str">
        <f t="shared" si="23"/>
        <v>Invalid</v>
      </c>
    </row>
    <row r="137" spans="1:31">
      <c r="A137" t="s">
        <v>515</v>
      </c>
      <c r="B137" s="3">
        <v>45893</v>
      </c>
      <c r="C137" s="3">
        <v>45893</v>
      </c>
      <c r="D137" t="s">
        <v>516</v>
      </c>
      <c r="E137" t="s">
        <v>162</v>
      </c>
      <c r="F137" t="s">
        <v>37</v>
      </c>
      <c r="G137" t="s">
        <v>54</v>
      </c>
      <c r="H137" t="s">
        <v>185</v>
      </c>
      <c r="I137" t="s">
        <v>186</v>
      </c>
      <c r="J137" t="s">
        <v>41</v>
      </c>
      <c r="K137" t="s">
        <v>158</v>
      </c>
      <c r="L137" t="s">
        <v>517</v>
      </c>
      <c r="M137" t="s">
        <v>59</v>
      </c>
      <c r="N137">
        <v>1</v>
      </c>
      <c r="O137">
        <v>3424.78</v>
      </c>
      <c r="P137">
        <v>0</v>
      </c>
      <c r="Q137">
        <v>3424.78</v>
      </c>
      <c r="R137">
        <v>1951.45</v>
      </c>
      <c r="S137">
        <v>1473.33</v>
      </c>
      <c r="T137" t="s">
        <v>32</v>
      </c>
      <c r="U137" t="s">
        <v>33</v>
      </c>
      <c r="V137">
        <f>IF(OR(B137="Invalid Date",C137="Invalid Date"),"Invalid Date",C137-B137)</f>
        <v>0</v>
      </c>
      <c r="W137" s="4" t="str">
        <f>IF(OR(B137="Invalid Date",C137="Invalid Date"),"Invalid Date",IF(C137&lt;B137,"Invalid Shipping","OK"))</f>
        <v>OK</v>
      </c>
      <c r="X137">
        <f t="shared" si="16"/>
        <v>1</v>
      </c>
      <c r="Y137">
        <f t="shared" si="17"/>
        <v>0</v>
      </c>
      <c r="Z137">
        <f t="shared" si="18"/>
        <v>3424.78</v>
      </c>
      <c r="AA137">
        <f t="shared" si="19"/>
        <v>1473.3300000000002</v>
      </c>
      <c r="AB137" s="6">
        <f t="shared" si="20"/>
        <v>0.43019697615613267</v>
      </c>
      <c r="AC137" t="str">
        <f t="shared" si="21"/>
        <v>August</v>
      </c>
      <c r="AD137">
        <f t="shared" si="22"/>
        <v>2025</v>
      </c>
      <c r="AE137" t="str">
        <f t="shared" si="23"/>
        <v>Clean</v>
      </c>
    </row>
    <row r="138" spans="1:31">
      <c r="A138" t="s">
        <v>518</v>
      </c>
      <c r="B138" s="3">
        <v>45697</v>
      </c>
      <c r="C138" s="3">
        <v>45703</v>
      </c>
      <c r="D138" t="s">
        <v>519</v>
      </c>
      <c r="E138" t="s">
        <v>36</v>
      </c>
      <c r="F138" t="s">
        <v>95</v>
      </c>
      <c r="G138" t="s">
        <v>38</v>
      </c>
      <c r="H138" t="s">
        <v>228</v>
      </c>
      <c r="I138" t="s">
        <v>229</v>
      </c>
      <c r="J138" t="s">
        <v>28</v>
      </c>
      <c r="K138" t="s">
        <v>153</v>
      </c>
      <c r="L138" t="s">
        <v>520</v>
      </c>
      <c r="M138" t="s">
        <v>59</v>
      </c>
      <c r="N138">
        <v>9</v>
      </c>
      <c r="O138">
        <v>4330.33</v>
      </c>
      <c r="P138">
        <v>0.2</v>
      </c>
      <c r="Q138">
        <v>31178.38</v>
      </c>
      <c r="R138">
        <v>21421.09</v>
      </c>
      <c r="S138">
        <v>9757.2900000000009</v>
      </c>
      <c r="T138" t="s">
        <v>32</v>
      </c>
      <c r="U138" t="s">
        <v>33</v>
      </c>
      <c r="V138">
        <f>IF(OR(B138="Invalid Date",C138="Invalid Date"),"Invalid Date",C138-B138)</f>
        <v>6</v>
      </c>
      <c r="W138" s="4" t="str">
        <f>IF(OR(B138="Invalid Date",C138="Invalid Date"),"Invalid Date",IF(C138&lt;B138,"Invalid Shipping","OK"))</f>
        <v>OK</v>
      </c>
      <c r="X138">
        <f t="shared" si="16"/>
        <v>1</v>
      </c>
      <c r="Y138">
        <f t="shared" si="17"/>
        <v>0.2</v>
      </c>
      <c r="Z138">
        <f t="shared" si="18"/>
        <v>31178.376000000004</v>
      </c>
      <c r="AA138">
        <f t="shared" si="19"/>
        <v>9757.2860000000037</v>
      </c>
      <c r="AB138" s="6">
        <f t="shared" si="20"/>
        <v>0.31295042435821552</v>
      </c>
      <c r="AC138" t="str">
        <f t="shared" si="21"/>
        <v>February</v>
      </c>
      <c r="AD138">
        <f t="shared" si="22"/>
        <v>2025</v>
      </c>
      <c r="AE138" t="str">
        <f t="shared" si="23"/>
        <v>Clean</v>
      </c>
    </row>
    <row r="139" spans="1:31">
      <c r="A139" t="s">
        <v>521</v>
      </c>
      <c r="B139" s="3">
        <v>45901</v>
      </c>
      <c r="C139" s="3">
        <v>45666</v>
      </c>
      <c r="D139" t="s">
        <v>522</v>
      </c>
      <c r="E139" t="s">
        <v>132</v>
      </c>
      <c r="F139" t="s">
        <v>37</v>
      </c>
      <c r="G139" t="s">
        <v>25</v>
      </c>
      <c r="H139" t="s">
        <v>26</v>
      </c>
      <c r="I139" t="s">
        <v>27</v>
      </c>
      <c r="J139" t="s">
        <v>41</v>
      </c>
      <c r="K139" t="s">
        <v>66</v>
      </c>
      <c r="L139" t="s">
        <v>523</v>
      </c>
      <c r="M139" t="s">
        <v>44</v>
      </c>
      <c r="N139">
        <v>8</v>
      </c>
      <c r="O139">
        <v>2667.07</v>
      </c>
      <c r="P139">
        <v>0.1</v>
      </c>
      <c r="Q139">
        <v>19202.900000000001</v>
      </c>
      <c r="R139">
        <v>15526.62</v>
      </c>
      <c r="S139">
        <v>3676.28</v>
      </c>
      <c r="T139" t="s">
        <v>32</v>
      </c>
      <c r="U139" t="s">
        <v>33</v>
      </c>
      <c r="V139">
        <f>IF(OR(B139="Invalid Date",C139="Invalid Date"),"Invalid Date",C139-B139)</f>
        <v>-235</v>
      </c>
      <c r="W139" s="4" t="str">
        <f>IF(OR(B139="Invalid Date",C139="Invalid Date"),"Invalid Date",IF(C139&lt;B139,"Invalid Shipping","OK"))</f>
        <v>Invalid Shipping</v>
      </c>
      <c r="X139">
        <f t="shared" si="16"/>
        <v>1</v>
      </c>
      <c r="Y139">
        <f t="shared" si="17"/>
        <v>0.1</v>
      </c>
      <c r="Z139">
        <f t="shared" si="18"/>
        <v>19202.904000000002</v>
      </c>
      <c r="AA139">
        <f t="shared" si="19"/>
        <v>3676.2840000000015</v>
      </c>
      <c r="AB139" s="6">
        <f t="shared" si="20"/>
        <v>0.19144416906942829</v>
      </c>
      <c r="AC139" t="str">
        <f t="shared" si="21"/>
        <v>September</v>
      </c>
      <c r="AD139">
        <f t="shared" si="22"/>
        <v>2025</v>
      </c>
      <c r="AE139" t="str">
        <f t="shared" si="23"/>
        <v>Invalid</v>
      </c>
    </row>
    <row r="140" spans="1:31">
      <c r="A140" t="s">
        <v>524</v>
      </c>
      <c r="B140" s="3">
        <v>45311</v>
      </c>
      <c r="C140" s="3">
        <v>45317</v>
      </c>
      <c r="D140" t="s">
        <v>525</v>
      </c>
      <c r="E140" t="s">
        <v>162</v>
      </c>
      <c r="F140" t="s">
        <v>95</v>
      </c>
      <c r="G140" t="s">
        <v>38</v>
      </c>
      <c r="H140" t="s">
        <v>228</v>
      </c>
      <c r="I140" t="s">
        <v>229</v>
      </c>
      <c r="J140" t="s">
        <v>74</v>
      </c>
      <c r="K140" t="s">
        <v>274</v>
      </c>
      <c r="L140" t="s">
        <v>526</v>
      </c>
      <c r="M140" t="s">
        <v>59</v>
      </c>
      <c r="N140">
        <v>8</v>
      </c>
      <c r="O140">
        <v>4003.05</v>
      </c>
      <c r="P140">
        <v>0.25</v>
      </c>
      <c r="Q140">
        <v>24018.3</v>
      </c>
      <c r="R140">
        <v>14070.78</v>
      </c>
      <c r="S140">
        <v>9947.52</v>
      </c>
      <c r="T140" t="s">
        <v>32</v>
      </c>
      <c r="U140" t="s">
        <v>33</v>
      </c>
      <c r="V140">
        <f>IF(OR(B140="Invalid Date",C140="Invalid Date"),"Invalid Date",C140-B140)</f>
        <v>6</v>
      </c>
      <c r="W140" s="4" t="str">
        <f>IF(OR(B140="Invalid Date",C140="Invalid Date"),"Invalid Date",IF(C140&lt;B140,"Invalid Shipping","OK"))</f>
        <v>OK</v>
      </c>
      <c r="X140">
        <f t="shared" si="16"/>
        <v>1</v>
      </c>
      <c r="Y140">
        <f t="shared" si="17"/>
        <v>0.25</v>
      </c>
      <c r="Z140">
        <f t="shared" si="18"/>
        <v>24018.300000000003</v>
      </c>
      <c r="AA140">
        <f t="shared" si="19"/>
        <v>9947.5200000000023</v>
      </c>
      <c r="AB140" s="6">
        <f t="shared" si="20"/>
        <v>0.41416419979765434</v>
      </c>
      <c r="AC140" t="str">
        <f t="shared" si="21"/>
        <v>January</v>
      </c>
      <c r="AD140">
        <f t="shared" si="22"/>
        <v>2024</v>
      </c>
      <c r="AE140" t="str">
        <f t="shared" si="23"/>
        <v>Clean</v>
      </c>
    </row>
    <row r="141" spans="1:31">
      <c r="A141" t="s">
        <v>527</v>
      </c>
      <c r="B141" s="3">
        <v>45691</v>
      </c>
      <c r="C141" s="3">
        <v>45723</v>
      </c>
      <c r="D141" t="s">
        <v>528</v>
      </c>
      <c r="E141" t="s">
        <v>79</v>
      </c>
      <c r="F141" t="s">
        <v>95</v>
      </c>
      <c r="G141" t="s">
        <v>54</v>
      </c>
      <c r="H141" t="s">
        <v>175</v>
      </c>
      <c r="I141" t="s">
        <v>176</v>
      </c>
      <c r="J141" t="s">
        <v>28</v>
      </c>
      <c r="K141" t="s">
        <v>91</v>
      </c>
      <c r="L141" t="s">
        <v>529</v>
      </c>
      <c r="M141" t="s">
        <v>59</v>
      </c>
      <c r="N141">
        <v>8</v>
      </c>
      <c r="O141">
        <v>1287.6300000000001</v>
      </c>
      <c r="P141">
        <v>0</v>
      </c>
      <c r="Q141">
        <v>10301.040000000001</v>
      </c>
      <c r="R141">
        <v>6564.06</v>
      </c>
      <c r="S141">
        <v>3736.98</v>
      </c>
      <c r="T141" t="s">
        <v>32</v>
      </c>
      <c r="U141" t="s">
        <v>33</v>
      </c>
      <c r="V141">
        <f>IF(OR(B141="Invalid Date",C141="Invalid Date"),"Invalid Date",C141-B141)</f>
        <v>32</v>
      </c>
      <c r="W141" s="4" t="str">
        <f>IF(OR(B141="Invalid Date",C141="Invalid Date"),"Invalid Date",IF(C141&lt;B141,"Invalid Shipping","OK"))</f>
        <v>OK</v>
      </c>
      <c r="X141">
        <f t="shared" si="16"/>
        <v>1</v>
      </c>
      <c r="Y141">
        <f t="shared" si="17"/>
        <v>0</v>
      </c>
      <c r="Z141">
        <f t="shared" si="18"/>
        <v>10301.040000000001</v>
      </c>
      <c r="AA141">
        <f t="shared" si="19"/>
        <v>3736.9800000000005</v>
      </c>
      <c r="AB141" s="6">
        <f t="shared" si="20"/>
        <v>0.3627769623261341</v>
      </c>
      <c r="AC141" t="str">
        <f t="shared" si="21"/>
        <v>February</v>
      </c>
      <c r="AD141">
        <f t="shared" si="22"/>
        <v>2025</v>
      </c>
      <c r="AE141" t="str">
        <f t="shared" si="23"/>
        <v>Clean</v>
      </c>
    </row>
    <row r="142" spans="1:31">
      <c r="A142" t="s">
        <v>530</v>
      </c>
      <c r="B142" s="3">
        <v>45443</v>
      </c>
      <c r="C142" s="3">
        <v>45444</v>
      </c>
      <c r="D142" t="s">
        <v>531</v>
      </c>
      <c r="E142" t="s">
        <v>36</v>
      </c>
      <c r="F142" t="s">
        <v>90</v>
      </c>
      <c r="G142" t="s">
        <v>54</v>
      </c>
      <c r="H142" t="s">
        <v>175</v>
      </c>
      <c r="I142" t="s">
        <v>176</v>
      </c>
      <c r="J142" t="s">
        <v>41</v>
      </c>
      <c r="K142" t="s">
        <v>158</v>
      </c>
      <c r="L142" t="s">
        <v>532</v>
      </c>
      <c r="M142" t="s">
        <v>44</v>
      </c>
      <c r="N142">
        <v>3</v>
      </c>
      <c r="O142">
        <v>2914.55</v>
      </c>
      <c r="P142">
        <v>0</v>
      </c>
      <c r="Q142">
        <v>8743.65</v>
      </c>
      <c r="R142">
        <v>6603.76</v>
      </c>
      <c r="S142">
        <v>2139.89</v>
      </c>
      <c r="T142" t="s">
        <v>32</v>
      </c>
      <c r="U142" t="s">
        <v>33</v>
      </c>
      <c r="V142">
        <f>IF(OR(B142="Invalid Date",C142="Invalid Date"),"Invalid Date",C142-B142)</f>
        <v>1</v>
      </c>
      <c r="W142" s="4" t="str">
        <f>IF(OR(B142="Invalid Date",C142="Invalid Date"),"Invalid Date",IF(C142&lt;B142,"Invalid Shipping","OK"))</f>
        <v>OK</v>
      </c>
      <c r="X142">
        <f t="shared" si="16"/>
        <v>1</v>
      </c>
      <c r="Y142">
        <f t="shared" si="17"/>
        <v>0</v>
      </c>
      <c r="Z142">
        <f t="shared" si="18"/>
        <v>8743.6500000000015</v>
      </c>
      <c r="AA142">
        <f t="shared" si="19"/>
        <v>2139.8900000000012</v>
      </c>
      <c r="AB142" s="6">
        <f t="shared" si="20"/>
        <v>0.24473646589239059</v>
      </c>
      <c r="AC142" t="str">
        <f t="shared" si="21"/>
        <v>May</v>
      </c>
      <c r="AD142">
        <f t="shared" si="22"/>
        <v>2024</v>
      </c>
      <c r="AE142" t="str">
        <f t="shared" si="23"/>
        <v>Clean</v>
      </c>
    </row>
    <row r="143" spans="1:31">
      <c r="A143" t="s">
        <v>533</v>
      </c>
      <c r="B143" s="3" t="s">
        <v>2763</v>
      </c>
      <c r="C143" s="3">
        <v>45380</v>
      </c>
      <c r="D143" t="s">
        <v>534</v>
      </c>
      <c r="E143" t="s">
        <v>114</v>
      </c>
      <c r="F143" t="s">
        <v>90</v>
      </c>
      <c r="G143" t="s">
        <v>25</v>
      </c>
      <c r="H143" t="s">
        <v>350</v>
      </c>
      <c r="I143" t="s">
        <v>351</v>
      </c>
      <c r="J143" t="s">
        <v>41</v>
      </c>
      <c r="K143" t="s">
        <v>158</v>
      </c>
      <c r="L143" t="s">
        <v>535</v>
      </c>
      <c r="M143" t="s">
        <v>44</v>
      </c>
      <c r="N143">
        <v>7</v>
      </c>
      <c r="O143">
        <v>634.29</v>
      </c>
      <c r="P143">
        <v>0.1</v>
      </c>
      <c r="Q143">
        <v>3996.03</v>
      </c>
      <c r="R143">
        <v>2859.51</v>
      </c>
      <c r="S143">
        <v>1136.52</v>
      </c>
      <c r="T143" t="s">
        <v>32</v>
      </c>
      <c r="U143" t="s">
        <v>103</v>
      </c>
      <c r="V143" t="str">
        <f>IF(OR(B143="Invalid Date",C143="Invalid Date"),"Invalid Date",C143-B143)</f>
        <v>Invalid Date</v>
      </c>
      <c r="W143" s="4" t="str">
        <f>IF(OR(B143="Invalid Date",C143="Invalid Date"),"Invalid Date",IF(C143&lt;B143,"Invalid Shipping","OK"))</f>
        <v>Invalid Date</v>
      </c>
      <c r="X143">
        <f t="shared" si="16"/>
        <v>1</v>
      </c>
      <c r="Y143">
        <f t="shared" si="17"/>
        <v>0.1</v>
      </c>
      <c r="Z143">
        <f t="shared" si="18"/>
        <v>3996.027</v>
      </c>
      <c r="AA143">
        <f t="shared" si="19"/>
        <v>1136.5169999999998</v>
      </c>
      <c r="AB143" s="6">
        <f t="shared" si="20"/>
        <v>0.28441174196270441</v>
      </c>
      <c r="AC143" t="str">
        <f t="shared" si="21"/>
        <v/>
      </c>
      <c r="AD143" t="str">
        <f t="shared" si="22"/>
        <v/>
      </c>
      <c r="AE143" t="str">
        <f t="shared" si="23"/>
        <v>Invalid</v>
      </c>
    </row>
    <row r="144" spans="1:31">
      <c r="A144" t="s">
        <v>536</v>
      </c>
      <c r="B144" s="3">
        <v>45381</v>
      </c>
      <c r="C144" s="3">
        <v>45377</v>
      </c>
      <c r="D144" t="s">
        <v>537</v>
      </c>
      <c r="E144" t="s">
        <v>89</v>
      </c>
      <c r="F144" t="s">
        <v>95</v>
      </c>
      <c r="G144" t="s">
        <v>25</v>
      </c>
      <c r="H144" t="s">
        <v>26</v>
      </c>
      <c r="I144" t="s">
        <v>27</v>
      </c>
      <c r="J144" t="s">
        <v>74</v>
      </c>
      <c r="K144" t="s">
        <v>171</v>
      </c>
      <c r="L144" t="s">
        <v>538</v>
      </c>
      <c r="M144" t="s">
        <v>31</v>
      </c>
      <c r="N144">
        <v>5</v>
      </c>
      <c r="O144">
        <v>907.54</v>
      </c>
      <c r="P144">
        <v>0.15</v>
      </c>
      <c r="Q144">
        <v>3857.04</v>
      </c>
      <c r="R144">
        <v>2769.26</v>
      </c>
      <c r="S144">
        <v>1087.78</v>
      </c>
      <c r="T144" t="s">
        <v>32</v>
      </c>
      <c r="U144" t="s">
        <v>33</v>
      </c>
      <c r="V144">
        <f>IF(OR(B144="Invalid Date",C144="Invalid Date"),"Invalid Date",C144-B144)</f>
        <v>-4</v>
      </c>
      <c r="W144" s="4" t="str">
        <f>IF(OR(B144="Invalid Date",C144="Invalid Date"),"Invalid Date",IF(C144&lt;B144,"Invalid Shipping","OK"))</f>
        <v>Invalid Shipping</v>
      </c>
      <c r="X144">
        <f t="shared" si="16"/>
        <v>2</v>
      </c>
      <c r="Y144">
        <f t="shared" si="17"/>
        <v>0.15</v>
      </c>
      <c r="Z144">
        <f t="shared" si="18"/>
        <v>3857.0449999999996</v>
      </c>
      <c r="AA144">
        <f t="shared" si="19"/>
        <v>1087.7849999999994</v>
      </c>
      <c r="AB144" s="6">
        <f t="shared" si="20"/>
        <v>0.28202548842442843</v>
      </c>
      <c r="AC144" t="str">
        <f t="shared" si="21"/>
        <v>March</v>
      </c>
      <c r="AD144">
        <f t="shared" si="22"/>
        <v>2024</v>
      </c>
      <c r="AE144" t="str">
        <f t="shared" si="23"/>
        <v>Invalid</v>
      </c>
    </row>
    <row r="145" spans="1:31">
      <c r="A145" t="s">
        <v>539</v>
      </c>
      <c r="B145" s="3" t="s">
        <v>2763</v>
      </c>
      <c r="C145" s="3">
        <v>45377</v>
      </c>
      <c r="D145" t="s">
        <v>540</v>
      </c>
      <c r="E145" t="s">
        <v>114</v>
      </c>
      <c r="F145" t="s">
        <v>24</v>
      </c>
      <c r="G145" t="s">
        <v>63</v>
      </c>
      <c r="H145" t="s">
        <v>180</v>
      </c>
      <c r="I145" t="s">
        <v>181</v>
      </c>
      <c r="J145" t="s">
        <v>28</v>
      </c>
      <c r="K145" t="s">
        <v>29</v>
      </c>
      <c r="L145" t="s">
        <v>541</v>
      </c>
      <c r="M145" t="s">
        <v>31</v>
      </c>
      <c r="N145">
        <v>1</v>
      </c>
      <c r="O145">
        <v>3409.5</v>
      </c>
      <c r="P145">
        <v>0.1</v>
      </c>
      <c r="Q145">
        <v>3068.55</v>
      </c>
      <c r="R145">
        <v>1916.16</v>
      </c>
      <c r="S145">
        <v>1152.3900000000001</v>
      </c>
      <c r="T145" t="s">
        <v>32</v>
      </c>
      <c r="U145" t="s">
        <v>103</v>
      </c>
      <c r="V145" t="str">
        <f>IF(OR(B145="Invalid Date",C145="Invalid Date"),"Invalid Date",C145-B145)</f>
        <v>Invalid Date</v>
      </c>
      <c r="W145" s="4" t="str">
        <f>IF(OR(B145="Invalid Date",C145="Invalid Date"),"Invalid Date",IF(C145&lt;B145,"Invalid Shipping","OK"))</f>
        <v>Invalid Date</v>
      </c>
      <c r="X145">
        <f t="shared" si="16"/>
        <v>1</v>
      </c>
      <c r="Y145">
        <f t="shared" si="17"/>
        <v>0.1</v>
      </c>
      <c r="Z145">
        <f t="shared" si="18"/>
        <v>3068.55</v>
      </c>
      <c r="AA145">
        <f t="shared" si="19"/>
        <v>1152.3900000000001</v>
      </c>
      <c r="AB145" s="6">
        <f t="shared" si="20"/>
        <v>0.3755487119323459</v>
      </c>
      <c r="AC145" t="str">
        <f t="shared" si="21"/>
        <v/>
      </c>
      <c r="AD145" t="str">
        <f t="shared" si="22"/>
        <v/>
      </c>
      <c r="AE145" t="str">
        <f t="shared" si="23"/>
        <v>Invalid</v>
      </c>
    </row>
    <row r="146" spans="1:31">
      <c r="A146" t="s">
        <v>542</v>
      </c>
      <c r="B146" s="3">
        <v>45450</v>
      </c>
      <c r="C146" s="3">
        <v>45458</v>
      </c>
      <c r="D146" t="s">
        <v>543</v>
      </c>
      <c r="E146" t="s">
        <v>264</v>
      </c>
      <c r="F146" t="s">
        <v>37</v>
      </c>
      <c r="G146" t="s">
        <v>54</v>
      </c>
      <c r="H146" t="s">
        <v>55</v>
      </c>
      <c r="I146" t="s">
        <v>56</v>
      </c>
      <c r="J146" t="s">
        <v>74</v>
      </c>
      <c r="K146" t="s">
        <v>75</v>
      </c>
      <c r="L146" t="s">
        <v>544</v>
      </c>
      <c r="M146" t="s">
        <v>50</v>
      </c>
      <c r="N146">
        <v>7</v>
      </c>
      <c r="O146">
        <v>2147.9899999999998</v>
      </c>
      <c r="P146">
        <v>0.25</v>
      </c>
      <c r="Q146">
        <v>11276.95</v>
      </c>
      <c r="R146">
        <v>6908.76</v>
      </c>
      <c r="S146">
        <v>4368.1899999999996</v>
      </c>
      <c r="T146" t="s">
        <v>102</v>
      </c>
      <c r="U146" t="s">
        <v>103</v>
      </c>
      <c r="V146">
        <f>IF(OR(B146="Invalid Date",C146="Invalid Date"),"Invalid Date",C146-B146)</f>
        <v>8</v>
      </c>
      <c r="W146" s="4" t="str">
        <f>IF(OR(B146="Invalid Date",C146="Invalid Date"),"Invalid Date",IF(C146&lt;B146,"Invalid Shipping","OK"))</f>
        <v>OK</v>
      </c>
      <c r="X146">
        <f t="shared" si="16"/>
        <v>1</v>
      </c>
      <c r="Y146">
        <f t="shared" si="17"/>
        <v>0.25</v>
      </c>
      <c r="Z146">
        <f t="shared" si="18"/>
        <v>11276.947499999998</v>
      </c>
      <c r="AA146">
        <f t="shared" si="19"/>
        <v>4368.1874999999982</v>
      </c>
      <c r="AB146" s="6">
        <f t="shared" si="20"/>
        <v>0.38735548782150481</v>
      </c>
      <c r="AC146" t="str">
        <f t="shared" si="21"/>
        <v>June</v>
      </c>
      <c r="AD146">
        <f t="shared" si="22"/>
        <v>2024</v>
      </c>
      <c r="AE146" t="str">
        <f t="shared" si="23"/>
        <v>Clean</v>
      </c>
    </row>
    <row r="147" spans="1:31">
      <c r="A147" t="s">
        <v>545</v>
      </c>
      <c r="B147" s="3">
        <v>45758</v>
      </c>
      <c r="C147" s="3" t="s">
        <v>2763</v>
      </c>
      <c r="D147" t="s">
        <v>546</v>
      </c>
      <c r="E147" t="s">
        <v>36</v>
      </c>
      <c r="F147" t="s">
        <v>37</v>
      </c>
      <c r="G147" t="s">
        <v>63</v>
      </c>
      <c r="H147" t="s">
        <v>190</v>
      </c>
      <c r="I147" t="s">
        <v>191</v>
      </c>
      <c r="J147" t="s">
        <v>28</v>
      </c>
      <c r="K147" t="s">
        <v>29</v>
      </c>
      <c r="L147" t="s">
        <v>547</v>
      </c>
      <c r="M147" t="s">
        <v>59</v>
      </c>
      <c r="N147">
        <v>4</v>
      </c>
      <c r="O147">
        <v>4182.1499999999996</v>
      </c>
      <c r="P147">
        <v>0.1</v>
      </c>
      <c r="Q147">
        <v>15055.74</v>
      </c>
      <c r="R147">
        <v>9808.83</v>
      </c>
      <c r="S147">
        <v>5246.91</v>
      </c>
      <c r="T147" t="s">
        <v>32</v>
      </c>
      <c r="U147" t="s">
        <v>33</v>
      </c>
      <c r="V147" t="str">
        <f>IF(OR(B147="Invalid Date",C147="Invalid Date"),"Invalid Date",C147-B147)</f>
        <v>Invalid Date</v>
      </c>
      <c r="W147" s="4" t="str">
        <f>IF(OR(B147="Invalid Date",C147="Invalid Date"),"Invalid Date",IF(C147&lt;B147,"Invalid Shipping","OK"))</f>
        <v>Invalid Date</v>
      </c>
      <c r="X147">
        <f t="shared" si="16"/>
        <v>1</v>
      </c>
      <c r="Y147">
        <f t="shared" si="17"/>
        <v>0.1</v>
      </c>
      <c r="Z147">
        <f t="shared" si="18"/>
        <v>15055.74</v>
      </c>
      <c r="AA147">
        <f t="shared" si="19"/>
        <v>5246.91</v>
      </c>
      <c r="AB147" s="6">
        <f t="shared" si="20"/>
        <v>0.34849897779850075</v>
      </c>
      <c r="AC147" t="str">
        <f t="shared" si="21"/>
        <v>April</v>
      </c>
      <c r="AD147">
        <f t="shared" si="22"/>
        <v>2025</v>
      </c>
      <c r="AE147" t="str">
        <f t="shared" si="23"/>
        <v>Invalid</v>
      </c>
    </row>
    <row r="148" spans="1:31">
      <c r="A148" t="s">
        <v>548</v>
      </c>
      <c r="B148" s="3">
        <v>45868</v>
      </c>
      <c r="C148" s="3">
        <v>45665</v>
      </c>
      <c r="D148" t="s">
        <v>549</v>
      </c>
      <c r="E148" t="s">
        <v>132</v>
      </c>
      <c r="F148" t="s">
        <v>37</v>
      </c>
      <c r="G148" t="s">
        <v>54</v>
      </c>
      <c r="H148" t="s">
        <v>247</v>
      </c>
      <c r="I148" t="s">
        <v>248</v>
      </c>
      <c r="J148" t="s">
        <v>28</v>
      </c>
      <c r="K148" t="s">
        <v>124</v>
      </c>
      <c r="L148" t="s">
        <v>550</v>
      </c>
      <c r="M148" t="s">
        <v>44</v>
      </c>
      <c r="N148">
        <v>9</v>
      </c>
      <c r="O148">
        <v>3165.43</v>
      </c>
      <c r="P148">
        <v>0.1</v>
      </c>
      <c r="Q148">
        <v>25639.98</v>
      </c>
      <c r="R148">
        <v>21635.08</v>
      </c>
      <c r="S148">
        <v>4004.9</v>
      </c>
      <c r="T148" t="s">
        <v>32</v>
      </c>
      <c r="U148" t="s">
        <v>33</v>
      </c>
      <c r="V148">
        <f>IF(OR(B148="Invalid Date",C148="Invalid Date"),"Invalid Date",C148-B148)</f>
        <v>-203</v>
      </c>
      <c r="W148" s="4" t="str">
        <f>IF(OR(B148="Invalid Date",C148="Invalid Date"),"Invalid Date",IF(C148&lt;B148,"Invalid Shipping","OK"))</f>
        <v>Invalid Shipping</v>
      </c>
      <c r="X148">
        <f t="shared" si="16"/>
        <v>1</v>
      </c>
      <c r="Y148">
        <f t="shared" si="17"/>
        <v>0.1</v>
      </c>
      <c r="Z148">
        <f t="shared" si="18"/>
        <v>25639.983</v>
      </c>
      <c r="AA148">
        <f t="shared" si="19"/>
        <v>4004.9029999999984</v>
      </c>
      <c r="AB148" s="6">
        <f t="shared" si="20"/>
        <v>0.1561975684617263</v>
      </c>
      <c r="AC148" t="str">
        <f t="shared" si="21"/>
        <v>July</v>
      </c>
      <c r="AD148">
        <f t="shared" si="22"/>
        <v>2025</v>
      </c>
      <c r="AE148" t="str">
        <f t="shared" si="23"/>
        <v>Invalid</v>
      </c>
    </row>
    <row r="149" spans="1:31">
      <c r="A149" t="s">
        <v>551</v>
      </c>
      <c r="B149" s="3">
        <v>45649</v>
      </c>
      <c r="C149" s="3">
        <v>45656</v>
      </c>
      <c r="D149" t="s">
        <v>552</v>
      </c>
      <c r="E149" t="s">
        <v>114</v>
      </c>
      <c r="F149" t="s">
        <v>95</v>
      </c>
      <c r="G149" t="s">
        <v>63</v>
      </c>
      <c r="H149" t="s">
        <v>190</v>
      </c>
      <c r="I149" t="s">
        <v>191</v>
      </c>
      <c r="J149" t="s">
        <v>41</v>
      </c>
      <c r="K149" t="s">
        <v>57</v>
      </c>
      <c r="L149" t="s">
        <v>553</v>
      </c>
      <c r="M149" t="s">
        <v>50</v>
      </c>
      <c r="N149">
        <v>8</v>
      </c>
      <c r="O149">
        <v>386.1</v>
      </c>
      <c r="P149">
        <v>0.1</v>
      </c>
      <c r="Q149">
        <v>2779.92</v>
      </c>
      <c r="R149">
        <v>1744.05</v>
      </c>
      <c r="S149">
        <v>1035.8699999999999</v>
      </c>
      <c r="T149" t="s">
        <v>32</v>
      </c>
      <c r="U149" t="s">
        <v>33</v>
      </c>
      <c r="V149">
        <f>IF(OR(B149="Invalid Date",C149="Invalid Date"),"Invalid Date",C149-B149)</f>
        <v>7</v>
      </c>
      <c r="W149" s="4" t="str">
        <f>IF(OR(B149="Invalid Date",C149="Invalid Date"),"Invalid Date",IF(C149&lt;B149,"Invalid Shipping","OK"))</f>
        <v>OK</v>
      </c>
      <c r="X149">
        <f t="shared" si="16"/>
        <v>1</v>
      </c>
      <c r="Y149">
        <f t="shared" si="17"/>
        <v>0.1</v>
      </c>
      <c r="Z149">
        <f t="shared" si="18"/>
        <v>2779.92</v>
      </c>
      <c r="AA149">
        <f t="shared" si="19"/>
        <v>1035.8700000000001</v>
      </c>
      <c r="AB149" s="6">
        <f t="shared" si="20"/>
        <v>0.37262583095916435</v>
      </c>
      <c r="AC149" t="str">
        <f t="shared" si="21"/>
        <v>December</v>
      </c>
      <c r="AD149">
        <f t="shared" si="22"/>
        <v>2024</v>
      </c>
      <c r="AE149" t="str">
        <f t="shared" si="23"/>
        <v>Clean</v>
      </c>
    </row>
    <row r="150" spans="1:31">
      <c r="A150" t="s">
        <v>554</v>
      </c>
      <c r="B150" s="3">
        <v>45697</v>
      </c>
      <c r="C150" s="3">
        <v>45701</v>
      </c>
      <c r="D150" t="s">
        <v>555</v>
      </c>
      <c r="E150" t="s">
        <v>36</v>
      </c>
      <c r="F150" t="s">
        <v>95</v>
      </c>
      <c r="G150" t="s">
        <v>63</v>
      </c>
      <c r="H150" t="s">
        <v>72</v>
      </c>
      <c r="I150" t="s">
        <v>73</v>
      </c>
      <c r="J150" t="s">
        <v>74</v>
      </c>
      <c r="K150" t="s">
        <v>171</v>
      </c>
      <c r="L150" t="s">
        <v>556</v>
      </c>
      <c r="M150" t="s">
        <v>2767</v>
      </c>
      <c r="N150">
        <v>8</v>
      </c>
      <c r="O150">
        <v>1696.07</v>
      </c>
      <c r="P150">
        <v>0.25</v>
      </c>
      <c r="Q150">
        <v>10176.42</v>
      </c>
      <c r="R150">
        <v>7604.47</v>
      </c>
      <c r="S150">
        <v>2571.9499999999998</v>
      </c>
      <c r="T150" t="s">
        <v>32</v>
      </c>
      <c r="U150" t="s">
        <v>33</v>
      </c>
      <c r="V150">
        <f>IF(OR(B150="Invalid Date",C150="Invalid Date"),"Invalid Date",C150-B150)</f>
        <v>4</v>
      </c>
      <c r="W150" s="4" t="str">
        <f>IF(OR(B150="Invalid Date",C150="Invalid Date"),"Invalid Date",IF(C150&lt;B150,"Invalid Shipping","OK"))</f>
        <v>OK</v>
      </c>
      <c r="X150">
        <f t="shared" si="16"/>
        <v>1</v>
      </c>
      <c r="Y150">
        <f t="shared" si="17"/>
        <v>0.25</v>
      </c>
      <c r="Z150">
        <f t="shared" si="18"/>
        <v>10176.42</v>
      </c>
      <c r="AA150">
        <f t="shared" si="19"/>
        <v>2571.9499999999998</v>
      </c>
      <c r="AB150" s="6">
        <f t="shared" si="20"/>
        <v>0.252736227474888</v>
      </c>
      <c r="AC150" t="str">
        <f t="shared" si="21"/>
        <v>February</v>
      </c>
      <c r="AD150">
        <f t="shared" si="22"/>
        <v>2025</v>
      </c>
      <c r="AE150" t="str">
        <f t="shared" si="23"/>
        <v>Warning</v>
      </c>
    </row>
    <row r="151" spans="1:31">
      <c r="A151" t="s">
        <v>557</v>
      </c>
      <c r="B151" s="3">
        <v>45321</v>
      </c>
      <c r="C151" s="3">
        <v>45321</v>
      </c>
      <c r="D151" t="s">
        <v>558</v>
      </c>
      <c r="E151" t="s">
        <v>128</v>
      </c>
      <c r="F151" t="s">
        <v>37</v>
      </c>
      <c r="G151" t="s">
        <v>63</v>
      </c>
      <c r="H151" t="s">
        <v>26</v>
      </c>
      <c r="I151" t="s">
        <v>109</v>
      </c>
      <c r="J151" t="s">
        <v>74</v>
      </c>
      <c r="K151" t="s">
        <v>80</v>
      </c>
      <c r="L151" t="s">
        <v>559</v>
      </c>
      <c r="M151" t="s">
        <v>44</v>
      </c>
      <c r="N151">
        <v>7</v>
      </c>
      <c r="O151">
        <v>2527.61</v>
      </c>
      <c r="P151">
        <v>0.25</v>
      </c>
      <c r="Q151">
        <v>13269.95</v>
      </c>
      <c r="R151">
        <v>8977.1</v>
      </c>
      <c r="S151">
        <v>4292.8500000000004</v>
      </c>
      <c r="T151" t="s">
        <v>32</v>
      </c>
      <c r="U151" t="s">
        <v>33</v>
      </c>
      <c r="V151">
        <f>IF(OR(B151="Invalid Date",C151="Invalid Date"),"Invalid Date",C151-B151)</f>
        <v>0</v>
      </c>
      <c r="W151" s="4" t="str">
        <f>IF(OR(B151="Invalid Date",C151="Invalid Date"),"Invalid Date",IF(C151&lt;B151,"Invalid Shipping","OK"))</f>
        <v>OK</v>
      </c>
      <c r="X151">
        <f t="shared" si="16"/>
        <v>1</v>
      </c>
      <c r="Y151">
        <f t="shared" si="17"/>
        <v>0.25</v>
      </c>
      <c r="Z151">
        <f t="shared" si="18"/>
        <v>13269.952499999999</v>
      </c>
      <c r="AA151">
        <f t="shared" si="19"/>
        <v>4292.8524999999991</v>
      </c>
      <c r="AB151" s="6">
        <f t="shared" si="20"/>
        <v>0.32350172315989822</v>
      </c>
      <c r="AC151" t="str">
        <f t="shared" si="21"/>
        <v>January</v>
      </c>
      <c r="AD151">
        <f t="shared" si="22"/>
        <v>2024</v>
      </c>
      <c r="AE151" t="str">
        <f t="shared" si="23"/>
        <v>Clean</v>
      </c>
    </row>
    <row r="152" spans="1:31">
      <c r="A152" t="s">
        <v>560</v>
      </c>
      <c r="B152" s="3">
        <v>45355</v>
      </c>
      <c r="C152" s="3">
        <v>45363</v>
      </c>
      <c r="D152" t="s">
        <v>561</v>
      </c>
      <c r="E152" t="s">
        <v>53</v>
      </c>
      <c r="F152" t="s">
        <v>24</v>
      </c>
      <c r="G152" t="s">
        <v>2767</v>
      </c>
      <c r="H152" t="s">
        <v>180</v>
      </c>
      <c r="I152" t="s">
        <v>181</v>
      </c>
      <c r="J152" t="s">
        <v>41</v>
      </c>
      <c r="K152" t="s">
        <v>158</v>
      </c>
      <c r="L152" t="s">
        <v>562</v>
      </c>
      <c r="M152" t="s">
        <v>50</v>
      </c>
      <c r="N152">
        <v>1</v>
      </c>
      <c r="O152">
        <v>1554.12</v>
      </c>
      <c r="P152">
        <v>0.1</v>
      </c>
      <c r="Q152">
        <v>1398.71</v>
      </c>
      <c r="R152">
        <v>1056.92</v>
      </c>
      <c r="S152">
        <v>341.79</v>
      </c>
      <c r="T152" t="s">
        <v>32</v>
      </c>
      <c r="U152" t="s">
        <v>33</v>
      </c>
      <c r="V152">
        <f>IF(OR(B152="Invalid Date",C152="Invalid Date"),"Invalid Date",C152-B152)</f>
        <v>8</v>
      </c>
      <c r="W152" s="4" t="str">
        <f>IF(OR(B152="Invalid Date",C152="Invalid Date"),"Invalid Date",IF(C152&lt;B152,"Invalid Shipping","OK"))</f>
        <v>OK</v>
      </c>
      <c r="X152">
        <f t="shared" si="16"/>
        <v>1</v>
      </c>
      <c r="Y152">
        <f t="shared" si="17"/>
        <v>0.1</v>
      </c>
      <c r="Z152">
        <f t="shared" si="18"/>
        <v>1398.7079999999999</v>
      </c>
      <c r="AA152">
        <f t="shared" si="19"/>
        <v>341.78799999999978</v>
      </c>
      <c r="AB152" s="6">
        <f t="shared" si="20"/>
        <v>0.24435979489643286</v>
      </c>
      <c r="AC152" t="str">
        <f t="shared" si="21"/>
        <v>March</v>
      </c>
      <c r="AD152">
        <f t="shared" si="22"/>
        <v>2024</v>
      </c>
      <c r="AE152" t="str">
        <f t="shared" si="23"/>
        <v>Warning</v>
      </c>
    </row>
    <row r="153" spans="1:31">
      <c r="A153" t="s">
        <v>563</v>
      </c>
      <c r="B153" s="3">
        <v>45470</v>
      </c>
      <c r="C153" s="3" t="s">
        <v>2763</v>
      </c>
      <c r="D153" t="s">
        <v>564</v>
      </c>
      <c r="E153" t="s">
        <v>79</v>
      </c>
      <c r="F153" t="s">
        <v>95</v>
      </c>
      <c r="G153" t="s">
        <v>2767</v>
      </c>
      <c r="H153" t="s">
        <v>72</v>
      </c>
      <c r="I153" t="s">
        <v>73</v>
      </c>
      <c r="J153" t="s">
        <v>74</v>
      </c>
      <c r="K153" t="s">
        <v>80</v>
      </c>
      <c r="L153" t="s">
        <v>565</v>
      </c>
      <c r="M153" t="s">
        <v>59</v>
      </c>
      <c r="N153">
        <v>2</v>
      </c>
      <c r="O153">
        <v>3859.11</v>
      </c>
      <c r="P153">
        <v>0</v>
      </c>
      <c r="Q153">
        <v>7718.22</v>
      </c>
      <c r="R153">
        <v>5355.93</v>
      </c>
      <c r="S153">
        <v>2362.29</v>
      </c>
      <c r="T153" t="s">
        <v>111</v>
      </c>
      <c r="U153" t="s">
        <v>103</v>
      </c>
      <c r="V153" t="str">
        <f>IF(OR(B153="Invalid Date",C153="Invalid Date"),"Invalid Date",C153-B153)</f>
        <v>Invalid Date</v>
      </c>
      <c r="W153" s="4" t="str">
        <f>IF(OR(B153="Invalid Date",C153="Invalid Date"),"Invalid Date",IF(C153&lt;B153,"Invalid Shipping","OK"))</f>
        <v>Invalid Date</v>
      </c>
      <c r="X153">
        <f t="shared" si="16"/>
        <v>1</v>
      </c>
      <c r="Y153">
        <f t="shared" si="17"/>
        <v>0</v>
      </c>
      <c r="Z153">
        <f t="shared" si="18"/>
        <v>7718.22</v>
      </c>
      <c r="AA153">
        <f t="shared" si="19"/>
        <v>2362.29</v>
      </c>
      <c r="AB153" s="6">
        <f t="shared" si="20"/>
        <v>0.30606668376905555</v>
      </c>
      <c r="AC153" t="str">
        <f t="shared" si="21"/>
        <v>June</v>
      </c>
      <c r="AD153">
        <f t="shared" si="22"/>
        <v>2024</v>
      </c>
      <c r="AE153" t="str">
        <f t="shared" si="23"/>
        <v>Invalid</v>
      </c>
    </row>
    <row r="154" spans="1:31">
      <c r="A154" t="s">
        <v>566</v>
      </c>
      <c r="B154" s="3">
        <v>45457</v>
      </c>
      <c r="C154" s="3" t="s">
        <v>2763</v>
      </c>
      <c r="D154" t="s">
        <v>567</v>
      </c>
      <c r="E154" t="s">
        <v>264</v>
      </c>
      <c r="F154" t="s">
        <v>37</v>
      </c>
      <c r="G154" t="s">
        <v>54</v>
      </c>
      <c r="H154" t="s">
        <v>185</v>
      </c>
      <c r="I154" t="s">
        <v>186</v>
      </c>
      <c r="J154" t="s">
        <v>41</v>
      </c>
      <c r="K154" t="s">
        <v>42</v>
      </c>
      <c r="L154" t="s">
        <v>568</v>
      </c>
      <c r="M154" t="s">
        <v>31</v>
      </c>
      <c r="N154">
        <v>6</v>
      </c>
      <c r="O154">
        <v>1088.04</v>
      </c>
      <c r="P154">
        <v>0.1</v>
      </c>
      <c r="Q154">
        <v>5875.42</v>
      </c>
      <c r="R154">
        <v>4380.55</v>
      </c>
      <c r="S154">
        <v>1494.87</v>
      </c>
      <c r="T154" t="s">
        <v>111</v>
      </c>
      <c r="U154" t="s">
        <v>103</v>
      </c>
      <c r="V154" t="str">
        <f>IF(OR(B154="Invalid Date",C154="Invalid Date"),"Invalid Date",C154-B154)</f>
        <v>Invalid Date</v>
      </c>
      <c r="W154" s="4" t="str">
        <f>IF(OR(B154="Invalid Date",C154="Invalid Date"),"Invalid Date",IF(C154&lt;B154,"Invalid Shipping","OK"))</f>
        <v>Invalid Date</v>
      </c>
      <c r="X154">
        <f t="shared" si="16"/>
        <v>1</v>
      </c>
      <c r="Y154">
        <f t="shared" si="17"/>
        <v>0.1</v>
      </c>
      <c r="Z154">
        <f t="shared" si="18"/>
        <v>5875.4160000000002</v>
      </c>
      <c r="AA154">
        <f t="shared" si="19"/>
        <v>1494.866</v>
      </c>
      <c r="AB154" s="6">
        <f t="shared" si="20"/>
        <v>0.25442726098032886</v>
      </c>
      <c r="AC154" t="str">
        <f t="shared" si="21"/>
        <v>June</v>
      </c>
      <c r="AD154">
        <f t="shared" si="22"/>
        <v>2024</v>
      </c>
      <c r="AE154" t="str">
        <f t="shared" si="23"/>
        <v>Invalid</v>
      </c>
    </row>
    <row r="155" spans="1:31">
      <c r="A155" t="s">
        <v>569</v>
      </c>
      <c r="B155" s="3">
        <v>45923</v>
      </c>
      <c r="C155" s="3">
        <v>45925</v>
      </c>
      <c r="D155" t="s">
        <v>570</v>
      </c>
      <c r="E155" t="s">
        <v>89</v>
      </c>
      <c r="F155" t="s">
        <v>24</v>
      </c>
      <c r="G155" t="s">
        <v>38</v>
      </c>
      <c r="H155" t="s">
        <v>39</v>
      </c>
      <c r="I155" t="s">
        <v>40</v>
      </c>
      <c r="J155" t="s">
        <v>28</v>
      </c>
      <c r="K155" t="s">
        <v>91</v>
      </c>
      <c r="L155" t="s">
        <v>571</v>
      </c>
      <c r="M155" t="s">
        <v>59</v>
      </c>
      <c r="N155">
        <v>7</v>
      </c>
      <c r="O155">
        <v>3280.31</v>
      </c>
      <c r="P155">
        <v>0</v>
      </c>
      <c r="Q155">
        <v>22962.17</v>
      </c>
      <c r="R155">
        <v>15716.5</v>
      </c>
      <c r="S155">
        <v>7245.67</v>
      </c>
      <c r="T155" t="s">
        <v>102</v>
      </c>
      <c r="U155" t="s">
        <v>103</v>
      </c>
      <c r="V155">
        <f>IF(OR(B155="Invalid Date",C155="Invalid Date"),"Invalid Date",C155-B155)</f>
        <v>2</v>
      </c>
      <c r="W155" s="4" t="str">
        <f>IF(OR(B155="Invalid Date",C155="Invalid Date"),"Invalid Date",IF(C155&lt;B155,"Invalid Shipping","OK"))</f>
        <v>OK</v>
      </c>
      <c r="X155">
        <f t="shared" si="16"/>
        <v>1</v>
      </c>
      <c r="Y155">
        <f t="shared" si="17"/>
        <v>0</v>
      </c>
      <c r="Z155">
        <f t="shared" si="18"/>
        <v>22962.17</v>
      </c>
      <c r="AA155">
        <f t="shared" si="19"/>
        <v>7245.6699999999983</v>
      </c>
      <c r="AB155" s="6">
        <f t="shared" si="20"/>
        <v>0.31554813852523517</v>
      </c>
      <c r="AC155" t="str">
        <f t="shared" si="21"/>
        <v>September</v>
      </c>
      <c r="AD155">
        <f t="shared" si="22"/>
        <v>2025</v>
      </c>
      <c r="AE155" t="str">
        <f t="shared" si="23"/>
        <v>Clean</v>
      </c>
    </row>
    <row r="156" spans="1:31">
      <c r="A156" t="s">
        <v>572</v>
      </c>
      <c r="B156" s="3">
        <v>45334</v>
      </c>
      <c r="C156" s="3">
        <v>45598</v>
      </c>
      <c r="D156" t="s">
        <v>455</v>
      </c>
      <c r="E156" t="s">
        <v>114</v>
      </c>
      <c r="F156" t="s">
        <v>24</v>
      </c>
      <c r="G156" t="s">
        <v>54</v>
      </c>
      <c r="H156" t="s">
        <v>247</v>
      </c>
      <c r="I156" t="s">
        <v>248</v>
      </c>
      <c r="J156" t="s">
        <v>41</v>
      </c>
      <c r="K156" t="s">
        <v>158</v>
      </c>
      <c r="L156" t="s">
        <v>573</v>
      </c>
      <c r="M156" t="s">
        <v>44</v>
      </c>
      <c r="N156">
        <v>1</v>
      </c>
      <c r="O156">
        <v>2599.12</v>
      </c>
      <c r="P156">
        <v>0.15</v>
      </c>
      <c r="Q156">
        <v>2209.25</v>
      </c>
      <c r="R156">
        <v>1523.78</v>
      </c>
      <c r="S156">
        <v>685.47</v>
      </c>
      <c r="T156" t="s">
        <v>32</v>
      </c>
      <c r="U156" t="s">
        <v>33</v>
      </c>
      <c r="V156">
        <f>IF(OR(B156="Invalid Date",C156="Invalid Date"),"Invalid Date",C156-B156)</f>
        <v>264</v>
      </c>
      <c r="W156" s="4" t="str">
        <f>IF(OR(B156="Invalid Date",C156="Invalid Date"),"Invalid Date",IF(C156&lt;B156,"Invalid Shipping","OK"))</f>
        <v>OK</v>
      </c>
      <c r="X156">
        <f t="shared" si="16"/>
        <v>1</v>
      </c>
      <c r="Y156">
        <f t="shared" si="17"/>
        <v>0.15</v>
      </c>
      <c r="Z156">
        <f t="shared" si="18"/>
        <v>2209.252</v>
      </c>
      <c r="AA156">
        <f t="shared" si="19"/>
        <v>685.47199999999998</v>
      </c>
      <c r="AB156" s="6">
        <f t="shared" si="20"/>
        <v>0.31027334138432372</v>
      </c>
      <c r="AC156" t="str">
        <f t="shared" si="21"/>
        <v>February</v>
      </c>
      <c r="AD156">
        <f t="shared" si="22"/>
        <v>2024</v>
      </c>
      <c r="AE156" t="str">
        <f t="shared" si="23"/>
        <v>Clean</v>
      </c>
    </row>
    <row r="157" spans="1:31">
      <c r="A157" t="s">
        <v>574</v>
      </c>
      <c r="B157" s="3" t="s">
        <v>2763</v>
      </c>
      <c r="C157" s="3">
        <v>45691</v>
      </c>
      <c r="D157" t="s">
        <v>575</v>
      </c>
      <c r="E157" t="s">
        <v>23</v>
      </c>
      <c r="F157" t="s">
        <v>90</v>
      </c>
      <c r="G157" t="s">
        <v>63</v>
      </c>
      <c r="H157" t="s">
        <v>26</v>
      </c>
      <c r="I157" t="s">
        <v>109</v>
      </c>
      <c r="J157" t="s">
        <v>41</v>
      </c>
      <c r="K157" t="s">
        <v>57</v>
      </c>
      <c r="L157" t="s">
        <v>576</v>
      </c>
      <c r="M157" t="s">
        <v>44</v>
      </c>
      <c r="N157">
        <v>3</v>
      </c>
      <c r="O157">
        <v>2859.32</v>
      </c>
      <c r="P157">
        <v>0.1</v>
      </c>
      <c r="Q157">
        <v>7720.16</v>
      </c>
      <c r="R157">
        <v>5881</v>
      </c>
      <c r="S157">
        <v>1839.16</v>
      </c>
      <c r="T157" t="s">
        <v>102</v>
      </c>
      <c r="U157" t="s">
        <v>103</v>
      </c>
      <c r="V157" t="str">
        <f>IF(OR(B157="Invalid Date",C157="Invalid Date"),"Invalid Date",C157-B157)</f>
        <v>Invalid Date</v>
      </c>
      <c r="W157" s="4" t="str">
        <f>IF(OR(B157="Invalid Date",C157="Invalid Date"),"Invalid Date",IF(C157&lt;B157,"Invalid Shipping","OK"))</f>
        <v>Invalid Date</v>
      </c>
      <c r="X157">
        <f t="shared" si="16"/>
        <v>1</v>
      </c>
      <c r="Y157">
        <f t="shared" si="17"/>
        <v>0.1</v>
      </c>
      <c r="Z157">
        <f t="shared" si="18"/>
        <v>7720.1640000000007</v>
      </c>
      <c r="AA157">
        <f t="shared" si="19"/>
        <v>1839.1640000000007</v>
      </c>
      <c r="AB157" s="6">
        <f t="shared" si="20"/>
        <v>0.23822861794127695</v>
      </c>
      <c r="AC157" t="str">
        <f t="shared" si="21"/>
        <v/>
      </c>
      <c r="AD157" t="str">
        <f t="shared" si="22"/>
        <v/>
      </c>
      <c r="AE157" t="str">
        <f t="shared" si="23"/>
        <v>Invalid</v>
      </c>
    </row>
    <row r="158" spans="1:31">
      <c r="A158" t="s">
        <v>577</v>
      </c>
      <c r="B158" s="3">
        <v>45743</v>
      </c>
      <c r="C158" s="3">
        <v>45743</v>
      </c>
      <c r="D158" t="s">
        <v>578</v>
      </c>
      <c r="E158" t="s">
        <v>71</v>
      </c>
      <c r="F158" t="s">
        <v>37</v>
      </c>
      <c r="G158" t="s">
        <v>38</v>
      </c>
      <c r="H158" t="s">
        <v>145</v>
      </c>
      <c r="I158" t="s">
        <v>146</v>
      </c>
      <c r="J158" t="s">
        <v>74</v>
      </c>
      <c r="K158" t="s">
        <v>274</v>
      </c>
      <c r="L158" t="s">
        <v>579</v>
      </c>
      <c r="M158" t="s">
        <v>31</v>
      </c>
      <c r="N158">
        <v>7</v>
      </c>
      <c r="O158">
        <v>2305.37</v>
      </c>
      <c r="P158">
        <v>0.25</v>
      </c>
      <c r="Q158">
        <v>12103.19</v>
      </c>
      <c r="R158">
        <v>6717.87</v>
      </c>
      <c r="S158">
        <v>5385.32</v>
      </c>
      <c r="T158" t="s">
        <v>32</v>
      </c>
      <c r="U158" t="s">
        <v>33</v>
      </c>
      <c r="V158">
        <f>IF(OR(B158="Invalid Date",C158="Invalid Date"),"Invalid Date",C158-B158)</f>
        <v>0</v>
      </c>
      <c r="W158" s="4" t="str">
        <f>IF(OR(B158="Invalid Date",C158="Invalid Date"),"Invalid Date",IF(C158&lt;B158,"Invalid Shipping","OK"))</f>
        <v>OK</v>
      </c>
      <c r="X158">
        <f t="shared" si="16"/>
        <v>1</v>
      </c>
      <c r="Y158">
        <f t="shared" si="17"/>
        <v>0.25</v>
      </c>
      <c r="Z158">
        <f t="shared" si="18"/>
        <v>12103.192500000001</v>
      </c>
      <c r="AA158">
        <f t="shared" si="19"/>
        <v>5385.3225000000011</v>
      </c>
      <c r="AB158" s="6">
        <f t="shared" si="20"/>
        <v>0.44495057812225997</v>
      </c>
      <c r="AC158" t="str">
        <f t="shared" si="21"/>
        <v>March</v>
      </c>
      <c r="AD158">
        <f t="shared" si="22"/>
        <v>2025</v>
      </c>
      <c r="AE158" t="str">
        <f t="shared" si="23"/>
        <v>Clean</v>
      </c>
    </row>
    <row r="159" spans="1:31">
      <c r="A159" t="s">
        <v>580</v>
      </c>
      <c r="B159" s="3" t="s">
        <v>2763</v>
      </c>
      <c r="C159" s="3">
        <v>45589</v>
      </c>
      <c r="D159" t="s">
        <v>581</v>
      </c>
      <c r="E159" t="s">
        <v>141</v>
      </c>
      <c r="F159" t="s">
        <v>37</v>
      </c>
      <c r="G159" t="s">
        <v>54</v>
      </c>
      <c r="H159" t="s">
        <v>84</v>
      </c>
      <c r="I159" t="s">
        <v>85</v>
      </c>
      <c r="J159" t="s">
        <v>41</v>
      </c>
      <c r="K159" t="s">
        <v>158</v>
      </c>
      <c r="L159" t="s">
        <v>582</v>
      </c>
      <c r="M159" t="s">
        <v>59</v>
      </c>
      <c r="N159">
        <v>3</v>
      </c>
      <c r="O159">
        <v>915.84</v>
      </c>
      <c r="P159">
        <v>0.15</v>
      </c>
      <c r="Q159">
        <v>2335.39</v>
      </c>
      <c r="R159">
        <v>1466.15</v>
      </c>
      <c r="S159">
        <v>869.24</v>
      </c>
      <c r="T159" t="s">
        <v>32</v>
      </c>
      <c r="U159" t="s">
        <v>33</v>
      </c>
      <c r="V159" t="str">
        <f>IF(OR(B159="Invalid Date",C159="Invalid Date"),"Invalid Date",C159-B159)</f>
        <v>Invalid Date</v>
      </c>
      <c r="W159" s="4" t="str">
        <f>IF(OR(B159="Invalid Date",C159="Invalid Date"),"Invalid Date",IF(C159&lt;B159,"Invalid Shipping","OK"))</f>
        <v>Invalid Date</v>
      </c>
      <c r="X159">
        <f t="shared" si="16"/>
        <v>1</v>
      </c>
      <c r="Y159">
        <f t="shared" si="17"/>
        <v>0.15</v>
      </c>
      <c r="Z159">
        <f t="shared" si="18"/>
        <v>2335.3919999999998</v>
      </c>
      <c r="AA159">
        <f t="shared" si="19"/>
        <v>869.24199999999973</v>
      </c>
      <c r="AB159" s="6">
        <f t="shared" si="20"/>
        <v>0.3722038955344541</v>
      </c>
      <c r="AC159" t="str">
        <f t="shared" si="21"/>
        <v/>
      </c>
      <c r="AD159" t="str">
        <f t="shared" si="22"/>
        <v/>
      </c>
      <c r="AE159" t="str">
        <f t="shared" si="23"/>
        <v>Invalid</v>
      </c>
    </row>
    <row r="160" spans="1:31">
      <c r="A160" t="s">
        <v>583</v>
      </c>
      <c r="B160" s="3">
        <v>45544</v>
      </c>
      <c r="C160" s="3">
        <v>45605</v>
      </c>
      <c r="D160" t="s">
        <v>584</v>
      </c>
      <c r="E160" t="s">
        <v>79</v>
      </c>
      <c r="F160" t="s">
        <v>95</v>
      </c>
      <c r="G160" t="s">
        <v>54</v>
      </c>
      <c r="H160" t="s">
        <v>55</v>
      </c>
      <c r="I160" t="s">
        <v>56</v>
      </c>
      <c r="J160" t="s">
        <v>41</v>
      </c>
      <c r="K160" t="s">
        <v>158</v>
      </c>
      <c r="L160" t="s">
        <v>585</v>
      </c>
      <c r="M160" t="s">
        <v>50</v>
      </c>
      <c r="N160">
        <v>1</v>
      </c>
      <c r="O160">
        <v>4199.54</v>
      </c>
      <c r="P160">
        <v>0.05</v>
      </c>
      <c r="Q160">
        <v>3989.56</v>
      </c>
      <c r="R160">
        <v>2381.38</v>
      </c>
      <c r="S160">
        <v>1608.18</v>
      </c>
      <c r="T160" t="s">
        <v>32</v>
      </c>
      <c r="U160" t="s">
        <v>33</v>
      </c>
      <c r="V160">
        <f>IF(OR(B160="Invalid Date",C160="Invalid Date"),"Invalid Date",C160-B160)</f>
        <v>61</v>
      </c>
      <c r="W160" s="4" t="str">
        <f>IF(OR(B160="Invalid Date",C160="Invalid Date"),"Invalid Date",IF(C160&lt;B160,"Invalid Shipping","OK"))</f>
        <v>OK</v>
      </c>
      <c r="X160">
        <f t="shared" si="16"/>
        <v>1</v>
      </c>
      <c r="Y160">
        <f t="shared" si="17"/>
        <v>0.05</v>
      </c>
      <c r="Z160">
        <f t="shared" si="18"/>
        <v>3989.5629999999996</v>
      </c>
      <c r="AA160">
        <f t="shared" si="19"/>
        <v>1608.1829999999995</v>
      </c>
      <c r="AB160" s="6">
        <f t="shared" si="20"/>
        <v>0.40309753223598666</v>
      </c>
      <c r="AC160" t="str">
        <f t="shared" si="21"/>
        <v>September</v>
      </c>
      <c r="AD160">
        <f t="shared" si="22"/>
        <v>2024</v>
      </c>
      <c r="AE160" t="str">
        <f t="shared" si="23"/>
        <v>Clean</v>
      </c>
    </row>
    <row r="161" spans="1:31">
      <c r="A161" t="s">
        <v>586</v>
      </c>
      <c r="B161" s="3">
        <v>45687</v>
      </c>
      <c r="C161" s="3">
        <v>45692</v>
      </c>
      <c r="D161" t="s">
        <v>587</v>
      </c>
      <c r="E161" t="s">
        <v>114</v>
      </c>
      <c r="F161" t="s">
        <v>90</v>
      </c>
      <c r="G161" t="s">
        <v>25</v>
      </c>
      <c r="H161" t="s">
        <v>236</v>
      </c>
      <c r="I161" t="s">
        <v>237</v>
      </c>
      <c r="J161" t="s">
        <v>41</v>
      </c>
      <c r="K161" t="s">
        <v>66</v>
      </c>
      <c r="L161" t="s">
        <v>588</v>
      </c>
      <c r="M161" t="s">
        <v>44</v>
      </c>
      <c r="N161">
        <v>9</v>
      </c>
      <c r="O161">
        <v>4430.5</v>
      </c>
      <c r="P161">
        <v>0.15</v>
      </c>
      <c r="Q161">
        <v>33893.32</v>
      </c>
      <c r="R161">
        <v>25750.35</v>
      </c>
      <c r="S161">
        <v>8142.97</v>
      </c>
      <c r="T161" t="s">
        <v>111</v>
      </c>
      <c r="U161" t="s">
        <v>68</v>
      </c>
      <c r="V161">
        <f>IF(OR(B161="Invalid Date",C161="Invalid Date"),"Invalid Date",C161-B161)</f>
        <v>5</v>
      </c>
      <c r="W161" s="4" t="str">
        <f>IF(OR(B161="Invalid Date",C161="Invalid Date"),"Invalid Date",IF(C161&lt;B161,"Invalid Shipping","OK"))</f>
        <v>OK</v>
      </c>
      <c r="X161">
        <f t="shared" si="16"/>
        <v>1</v>
      </c>
      <c r="Y161">
        <f t="shared" si="17"/>
        <v>0.15</v>
      </c>
      <c r="Z161">
        <f t="shared" si="18"/>
        <v>33893.324999999997</v>
      </c>
      <c r="AA161">
        <f t="shared" si="19"/>
        <v>8142.9749999999985</v>
      </c>
      <c r="AB161" s="6">
        <f t="shared" si="20"/>
        <v>0.24025305867748292</v>
      </c>
      <c r="AC161" t="str">
        <f t="shared" si="21"/>
        <v>January</v>
      </c>
      <c r="AD161">
        <f t="shared" si="22"/>
        <v>2025</v>
      </c>
      <c r="AE161" t="str">
        <f t="shared" si="23"/>
        <v>Clean</v>
      </c>
    </row>
    <row r="162" spans="1:31">
      <c r="A162" t="s">
        <v>589</v>
      </c>
      <c r="B162" s="3">
        <v>45938</v>
      </c>
      <c r="C162" s="3">
        <v>45818</v>
      </c>
      <c r="D162" t="s">
        <v>590</v>
      </c>
      <c r="E162" t="s">
        <v>71</v>
      </c>
      <c r="F162" t="s">
        <v>37</v>
      </c>
      <c r="G162" t="s">
        <v>63</v>
      </c>
      <c r="H162" t="s">
        <v>64</v>
      </c>
      <c r="I162" t="s">
        <v>65</v>
      </c>
      <c r="J162" t="s">
        <v>28</v>
      </c>
      <c r="K162" t="s">
        <v>29</v>
      </c>
      <c r="L162" t="s">
        <v>591</v>
      </c>
      <c r="M162" t="s">
        <v>31</v>
      </c>
      <c r="N162">
        <v>4</v>
      </c>
      <c r="O162">
        <v>1260.42</v>
      </c>
      <c r="P162">
        <v>0.05</v>
      </c>
      <c r="Q162">
        <v>4789.6000000000004</v>
      </c>
      <c r="R162">
        <v>4037.64</v>
      </c>
      <c r="S162">
        <v>751.96</v>
      </c>
      <c r="T162" t="s">
        <v>111</v>
      </c>
      <c r="U162" t="s">
        <v>68</v>
      </c>
      <c r="V162">
        <f>IF(OR(B162="Invalid Date",C162="Invalid Date"),"Invalid Date",C162-B162)</f>
        <v>-120</v>
      </c>
      <c r="W162" s="4" t="str">
        <f>IF(OR(B162="Invalid Date",C162="Invalid Date"),"Invalid Date",IF(C162&lt;B162,"Invalid Shipping","OK"))</f>
        <v>Invalid Shipping</v>
      </c>
      <c r="X162">
        <f t="shared" si="16"/>
        <v>1</v>
      </c>
      <c r="Y162">
        <f t="shared" si="17"/>
        <v>0.05</v>
      </c>
      <c r="Z162">
        <f t="shared" si="18"/>
        <v>4789.5960000000005</v>
      </c>
      <c r="AA162">
        <f t="shared" si="19"/>
        <v>751.95600000000059</v>
      </c>
      <c r="AB162" s="6">
        <f t="shared" si="20"/>
        <v>0.1569977927157114</v>
      </c>
      <c r="AC162" t="str">
        <f t="shared" si="21"/>
        <v>October</v>
      </c>
      <c r="AD162">
        <f t="shared" si="22"/>
        <v>2025</v>
      </c>
      <c r="AE162" t="str">
        <f t="shared" si="23"/>
        <v>Invalid</v>
      </c>
    </row>
    <row r="163" spans="1:31">
      <c r="A163" t="s">
        <v>592</v>
      </c>
      <c r="B163" s="3">
        <v>45862</v>
      </c>
      <c r="C163" s="3">
        <v>45868</v>
      </c>
      <c r="D163" t="s">
        <v>593</v>
      </c>
      <c r="E163" t="s">
        <v>53</v>
      </c>
      <c r="F163" t="s">
        <v>24</v>
      </c>
      <c r="G163" t="s">
        <v>63</v>
      </c>
      <c r="H163" t="s">
        <v>26</v>
      </c>
      <c r="I163" t="s">
        <v>109</v>
      </c>
      <c r="J163" t="s">
        <v>28</v>
      </c>
      <c r="K163" t="s">
        <v>153</v>
      </c>
      <c r="L163" t="s">
        <v>594</v>
      </c>
      <c r="M163" t="s">
        <v>59</v>
      </c>
      <c r="N163">
        <v>1</v>
      </c>
      <c r="O163">
        <v>1643.41</v>
      </c>
      <c r="P163">
        <v>0</v>
      </c>
      <c r="Q163">
        <v>1643.41</v>
      </c>
      <c r="R163">
        <v>907.4</v>
      </c>
      <c r="S163">
        <v>736.01</v>
      </c>
      <c r="T163" t="s">
        <v>111</v>
      </c>
      <c r="U163" t="s">
        <v>68</v>
      </c>
      <c r="V163">
        <f>IF(OR(B163="Invalid Date",C163="Invalid Date"),"Invalid Date",C163-B163)</f>
        <v>6</v>
      </c>
      <c r="W163" s="4" t="str">
        <f>IF(OR(B163="Invalid Date",C163="Invalid Date"),"Invalid Date",IF(C163&lt;B163,"Invalid Shipping","OK"))</f>
        <v>OK</v>
      </c>
      <c r="X163">
        <f t="shared" si="16"/>
        <v>1</v>
      </c>
      <c r="Y163">
        <f t="shared" si="17"/>
        <v>0</v>
      </c>
      <c r="Z163">
        <f t="shared" si="18"/>
        <v>1643.41</v>
      </c>
      <c r="AA163">
        <f t="shared" si="19"/>
        <v>736.0100000000001</v>
      </c>
      <c r="AB163" s="6">
        <f t="shared" si="20"/>
        <v>0.44785537388722235</v>
      </c>
      <c r="AC163" t="str">
        <f t="shared" si="21"/>
        <v>July</v>
      </c>
      <c r="AD163">
        <f t="shared" si="22"/>
        <v>2025</v>
      </c>
      <c r="AE163" t="str">
        <f t="shared" si="23"/>
        <v>Clean</v>
      </c>
    </row>
    <row r="164" spans="1:31">
      <c r="A164" t="s">
        <v>595</v>
      </c>
      <c r="B164" s="3">
        <v>45360</v>
      </c>
      <c r="C164" s="3">
        <v>45365</v>
      </c>
      <c r="D164" t="s">
        <v>596</v>
      </c>
      <c r="E164" t="s">
        <v>79</v>
      </c>
      <c r="F164" t="s">
        <v>37</v>
      </c>
      <c r="G164" t="s">
        <v>63</v>
      </c>
      <c r="H164" t="s">
        <v>190</v>
      </c>
      <c r="I164" t="s">
        <v>191</v>
      </c>
      <c r="J164" t="s">
        <v>41</v>
      </c>
      <c r="K164" t="s">
        <v>57</v>
      </c>
      <c r="L164" t="s">
        <v>597</v>
      </c>
      <c r="M164" t="s">
        <v>31</v>
      </c>
      <c r="N164">
        <v>8</v>
      </c>
      <c r="O164">
        <v>4472.84</v>
      </c>
      <c r="P164">
        <v>0</v>
      </c>
      <c r="Q164">
        <v>35997.620000000003</v>
      </c>
      <c r="R164">
        <v>26424.41</v>
      </c>
      <c r="S164">
        <v>9358.31</v>
      </c>
      <c r="T164" t="s">
        <v>111</v>
      </c>
      <c r="U164" t="s">
        <v>103</v>
      </c>
      <c r="V164">
        <f>IF(OR(B164="Invalid Date",C164="Invalid Date"),"Invalid Date",C164-B164)</f>
        <v>5</v>
      </c>
      <c r="W164" s="4" t="str">
        <f>IF(OR(B164="Invalid Date",C164="Invalid Date"),"Invalid Date",IF(C164&lt;B164,"Invalid Shipping","OK"))</f>
        <v>OK</v>
      </c>
      <c r="X164">
        <f t="shared" si="16"/>
        <v>1</v>
      </c>
      <c r="Y164">
        <f t="shared" si="17"/>
        <v>0</v>
      </c>
      <c r="Z164">
        <f t="shared" si="18"/>
        <v>35782.720000000001</v>
      </c>
      <c r="AA164">
        <f t="shared" si="19"/>
        <v>9358.3100000000013</v>
      </c>
      <c r="AB164" s="6">
        <f t="shared" si="20"/>
        <v>0.2615315437171909</v>
      </c>
      <c r="AC164" t="str">
        <f t="shared" si="21"/>
        <v>March</v>
      </c>
      <c r="AD164">
        <f t="shared" si="22"/>
        <v>2024</v>
      </c>
      <c r="AE164" t="str">
        <f t="shared" si="23"/>
        <v>Clean</v>
      </c>
    </row>
    <row r="165" spans="1:31">
      <c r="A165" t="s">
        <v>598</v>
      </c>
      <c r="B165" s="3" t="s">
        <v>2763</v>
      </c>
      <c r="C165" s="3">
        <v>45926</v>
      </c>
      <c r="D165" t="s">
        <v>599</v>
      </c>
      <c r="E165" t="s">
        <v>141</v>
      </c>
      <c r="F165" t="s">
        <v>95</v>
      </c>
      <c r="G165" t="s">
        <v>63</v>
      </c>
      <c r="H165" t="s">
        <v>180</v>
      </c>
      <c r="I165" t="s">
        <v>181</v>
      </c>
      <c r="J165" t="s">
        <v>41</v>
      </c>
      <c r="K165" t="s">
        <v>42</v>
      </c>
      <c r="L165" t="s">
        <v>600</v>
      </c>
      <c r="M165" t="s">
        <v>2767</v>
      </c>
      <c r="N165">
        <v>6</v>
      </c>
      <c r="O165">
        <v>2903.58</v>
      </c>
      <c r="P165">
        <v>0.1</v>
      </c>
      <c r="Q165">
        <v>15679.33</v>
      </c>
      <c r="R165">
        <v>12477.82</v>
      </c>
      <c r="S165">
        <v>3201.51</v>
      </c>
      <c r="T165" t="s">
        <v>111</v>
      </c>
      <c r="U165" t="s">
        <v>103</v>
      </c>
      <c r="V165" t="str">
        <f>IF(OR(B165="Invalid Date",C165="Invalid Date"),"Invalid Date",C165-B165)</f>
        <v>Invalid Date</v>
      </c>
      <c r="W165" s="4" t="str">
        <f>IF(OR(B165="Invalid Date",C165="Invalid Date"),"Invalid Date",IF(C165&lt;B165,"Invalid Shipping","OK"))</f>
        <v>Invalid Date</v>
      </c>
      <c r="X165">
        <f t="shared" si="16"/>
        <v>1</v>
      </c>
      <c r="Y165">
        <f t="shared" si="17"/>
        <v>0.1</v>
      </c>
      <c r="Z165">
        <f t="shared" si="18"/>
        <v>15679.332</v>
      </c>
      <c r="AA165">
        <f t="shared" si="19"/>
        <v>3201.5120000000006</v>
      </c>
      <c r="AB165" s="6">
        <f t="shared" si="20"/>
        <v>0.20418675999717339</v>
      </c>
      <c r="AC165" t="str">
        <f t="shared" si="21"/>
        <v/>
      </c>
      <c r="AD165" t="str">
        <f t="shared" si="22"/>
        <v/>
      </c>
      <c r="AE165" t="str">
        <f t="shared" si="23"/>
        <v>Invalid</v>
      </c>
    </row>
    <row r="166" spans="1:31">
      <c r="A166" t="s">
        <v>601</v>
      </c>
      <c r="B166" s="3">
        <v>45909</v>
      </c>
      <c r="C166" s="3" t="s">
        <v>2763</v>
      </c>
      <c r="D166" t="s">
        <v>602</v>
      </c>
      <c r="E166" t="s">
        <v>118</v>
      </c>
      <c r="F166" t="s">
        <v>37</v>
      </c>
      <c r="G166" t="s">
        <v>38</v>
      </c>
      <c r="H166" t="s">
        <v>99</v>
      </c>
      <c r="I166" t="s">
        <v>100</v>
      </c>
      <c r="J166" t="s">
        <v>41</v>
      </c>
      <c r="K166" t="s">
        <v>158</v>
      </c>
      <c r="L166" t="s">
        <v>603</v>
      </c>
      <c r="M166" t="s">
        <v>31</v>
      </c>
      <c r="N166">
        <v>1</v>
      </c>
      <c r="O166">
        <v>3154.42</v>
      </c>
      <c r="P166">
        <v>0.25</v>
      </c>
      <c r="Q166">
        <v>2365.8200000000002</v>
      </c>
      <c r="R166">
        <v>1547.99</v>
      </c>
      <c r="S166">
        <v>817.83</v>
      </c>
      <c r="T166" t="s">
        <v>32</v>
      </c>
      <c r="U166" t="s">
        <v>33</v>
      </c>
      <c r="V166" t="str">
        <f>IF(OR(B166="Invalid Date",C166="Invalid Date"),"Invalid Date",C166-B166)</f>
        <v>Invalid Date</v>
      </c>
      <c r="W166" s="4" t="str">
        <f>IF(OR(B166="Invalid Date",C166="Invalid Date"),"Invalid Date",IF(C166&lt;B166,"Invalid Shipping","OK"))</f>
        <v>Invalid Date</v>
      </c>
      <c r="X166">
        <f t="shared" si="16"/>
        <v>1</v>
      </c>
      <c r="Y166">
        <f t="shared" si="17"/>
        <v>0.25</v>
      </c>
      <c r="Z166">
        <f t="shared" si="18"/>
        <v>2365.8150000000001</v>
      </c>
      <c r="AA166">
        <f t="shared" si="19"/>
        <v>817.82500000000005</v>
      </c>
      <c r="AB166" s="6">
        <f t="shared" si="20"/>
        <v>0.34568425679945392</v>
      </c>
      <c r="AC166" t="str">
        <f t="shared" si="21"/>
        <v>September</v>
      </c>
      <c r="AD166">
        <f t="shared" si="22"/>
        <v>2025</v>
      </c>
      <c r="AE166" t="str">
        <f t="shared" si="23"/>
        <v>Invalid</v>
      </c>
    </row>
    <row r="167" spans="1:31">
      <c r="A167" t="s">
        <v>604</v>
      </c>
      <c r="B167" s="3" t="s">
        <v>2763</v>
      </c>
      <c r="C167" s="3">
        <v>45625</v>
      </c>
      <c r="D167" t="s">
        <v>605</v>
      </c>
      <c r="E167" t="s">
        <v>36</v>
      </c>
      <c r="F167" t="s">
        <v>95</v>
      </c>
      <c r="G167" t="s">
        <v>38</v>
      </c>
      <c r="H167" t="s">
        <v>145</v>
      </c>
      <c r="I167" t="s">
        <v>146</v>
      </c>
      <c r="J167" t="s">
        <v>41</v>
      </c>
      <c r="K167" t="s">
        <v>66</v>
      </c>
      <c r="L167" t="s">
        <v>606</v>
      </c>
      <c r="M167" t="s">
        <v>59</v>
      </c>
      <c r="N167">
        <v>4</v>
      </c>
      <c r="O167">
        <v>3422.99</v>
      </c>
      <c r="P167">
        <v>0.25</v>
      </c>
      <c r="Q167">
        <v>10268.969999999999</v>
      </c>
      <c r="R167">
        <v>6470.92</v>
      </c>
      <c r="S167">
        <v>3798.05</v>
      </c>
      <c r="T167" t="s">
        <v>32</v>
      </c>
      <c r="U167" t="s">
        <v>33</v>
      </c>
      <c r="V167" t="str">
        <f>IF(OR(B167="Invalid Date",C167="Invalid Date"),"Invalid Date",C167-B167)</f>
        <v>Invalid Date</v>
      </c>
      <c r="W167" s="4" t="str">
        <f>IF(OR(B167="Invalid Date",C167="Invalid Date"),"Invalid Date",IF(C167&lt;B167,"Invalid Shipping","OK"))</f>
        <v>Invalid Date</v>
      </c>
      <c r="X167">
        <f t="shared" si="16"/>
        <v>1</v>
      </c>
      <c r="Y167">
        <f t="shared" si="17"/>
        <v>0.25</v>
      </c>
      <c r="Z167">
        <f t="shared" si="18"/>
        <v>10268.969999999999</v>
      </c>
      <c r="AA167">
        <f t="shared" si="19"/>
        <v>3798.0499999999993</v>
      </c>
      <c r="AB167" s="6">
        <f t="shared" si="20"/>
        <v>0.36985695741637181</v>
      </c>
      <c r="AC167" t="str">
        <f t="shared" si="21"/>
        <v/>
      </c>
      <c r="AD167" t="str">
        <f t="shared" si="22"/>
        <v/>
      </c>
      <c r="AE167" t="str">
        <f t="shared" si="23"/>
        <v>Invalid</v>
      </c>
    </row>
    <row r="168" spans="1:31">
      <c r="A168" t="s">
        <v>607</v>
      </c>
      <c r="B168" s="3">
        <v>45708</v>
      </c>
      <c r="C168" s="3">
        <v>45714</v>
      </c>
      <c r="D168" t="s">
        <v>608</v>
      </c>
      <c r="E168" t="s">
        <v>23</v>
      </c>
      <c r="F168" t="s">
        <v>37</v>
      </c>
      <c r="G168" t="s">
        <v>63</v>
      </c>
      <c r="H168" t="s">
        <v>180</v>
      </c>
      <c r="I168" t="s">
        <v>181</v>
      </c>
      <c r="J168" t="s">
        <v>28</v>
      </c>
      <c r="K168" t="s">
        <v>91</v>
      </c>
      <c r="L168" t="s">
        <v>609</v>
      </c>
      <c r="M168" t="s">
        <v>50</v>
      </c>
      <c r="N168">
        <v>1</v>
      </c>
      <c r="O168">
        <v>2557.85</v>
      </c>
      <c r="P168">
        <v>0.2</v>
      </c>
      <c r="Q168">
        <v>2046.28</v>
      </c>
      <c r="R168">
        <v>1449.54</v>
      </c>
      <c r="S168">
        <v>596.74</v>
      </c>
      <c r="T168" t="s">
        <v>32</v>
      </c>
      <c r="U168" t="s">
        <v>33</v>
      </c>
      <c r="V168">
        <f>IF(OR(B168="Invalid Date",C168="Invalid Date"),"Invalid Date",C168-B168)</f>
        <v>6</v>
      </c>
      <c r="W168" s="4" t="str">
        <f>IF(OR(B168="Invalid Date",C168="Invalid Date"),"Invalid Date",IF(C168&lt;B168,"Invalid Shipping","OK"))</f>
        <v>OK</v>
      </c>
      <c r="X168">
        <f t="shared" si="16"/>
        <v>1</v>
      </c>
      <c r="Y168">
        <f t="shared" si="17"/>
        <v>0.2</v>
      </c>
      <c r="Z168">
        <f t="shared" si="18"/>
        <v>2046.28</v>
      </c>
      <c r="AA168">
        <f t="shared" si="19"/>
        <v>596.74</v>
      </c>
      <c r="AB168" s="6">
        <f t="shared" si="20"/>
        <v>0.29162186992982386</v>
      </c>
      <c r="AC168" t="str">
        <f t="shared" si="21"/>
        <v>February</v>
      </c>
      <c r="AD168">
        <f t="shared" si="22"/>
        <v>2025</v>
      </c>
      <c r="AE168" t="str">
        <f t="shared" si="23"/>
        <v>Clean</v>
      </c>
    </row>
    <row r="169" spans="1:31">
      <c r="A169" t="s">
        <v>610</v>
      </c>
      <c r="B169" s="3">
        <v>45887</v>
      </c>
      <c r="C169" s="3" t="s">
        <v>2763</v>
      </c>
      <c r="D169" t="s">
        <v>611</v>
      </c>
      <c r="E169" t="s">
        <v>53</v>
      </c>
      <c r="F169" t="s">
        <v>95</v>
      </c>
      <c r="G169" t="s">
        <v>54</v>
      </c>
      <c r="H169" t="s">
        <v>175</v>
      </c>
      <c r="I169" t="s">
        <v>176</v>
      </c>
      <c r="J169" t="s">
        <v>28</v>
      </c>
      <c r="K169" t="s">
        <v>124</v>
      </c>
      <c r="L169" t="s">
        <v>612</v>
      </c>
      <c r="M169" t="s">
        <v>50</v>
      </c>
      <c r="N169">
        <v>9</v>
      </c>
      <c r="O169">
        <v>3030.93</v>
      </c>
      <c r="P169">
        <v>0.15</v>
      </c>
      <c r="Q169">
        <v>23186.61</v>
      </c>
      <c r="R169">
        <v>17906.54</v>
      </c>
      <c r="S169">
        <v>5280.07</v>
      </c>
      <c r="T169" t="s">
        <v>32</v>
      </c>
      <c r="U169" t="s">
        <v>103</v>
      </c>
      <c r="V169" t="str">
        <f>IF(OR(B169="Invalid Date",C169="Invalid Date"),"Invalid Date",C169-B169)</f>
        <v>Invalid Date</v>
      </c>
      <c r="W169" s="4" t="str">
        <f>IF(OR(B169="Invalid Date",C169="Invalid Date"),"Invalid Date",IF(C169&lt;B169,"Invalid Shipping","OK"))</f>
        <v>Invalid Date</v>
      </c>
      <c r="X169">
        <f t="shared" si="16"/>
        <v>1</v>
      </c>
      <c r="Y169">
        <f t="shared" si="17"/>
        <v>0.15</v>
      </c>
      <c r="Z169">
        <f t="shared" si="18"/>
        <v>23186.6145</v>
      </c>
      <c r="AA169">
        <f t="shared" si="19"/>
        <v>5280.0744999999988</v>
      </c>
      <c r="AB169" s="6">
        <f t="shared" si="20"/>
        <v>0.22772080417345961</v>
      </c>
      <c r="AC169" t="str">
        <f t="shared" si="21"/>
        <v>August</v>
      </c>
      <c r="AD169">
        <f t="shared" si="22"/>
        <v>2025</v>
      </c>
      <c r="AE169" t="str">
        <f t="shared" si="23"/>
        <v>Invalid</v>
      </c>
    </row>
    <row r="170" spans="1:31">
      <c r="A170" t="s">
        <v>613</v>
      </c>
      <c r="B170" s="3" t="s">
        <v>2763</v>
      </c>
      <c r="C170" s="3">
        <v>45680</v>
      </c>
      <c r="D170" t="s">
        <v>614</v>
      </c>
      <c r="E170" t="s">
        <v>264</v>
      </c>
      <c r="F170" t="s">
        <v>24</v>
      </c>
      <c r="G170" t="s">
        <v>63</v>
      </c>
      <c r="H170" t="s">
        <v>64</v>
      </c>
      <c r="I170" t="s">
        <v>65</v>
      </c>
      <c r="J170" t="s">
        <v>74</v>
      </c>
      <c r="K170" t="s">
        <v>75</v>
      </c>
      <c r="L170" t="s">
        <v>615</v>
      </c>
      <c r="M170" t="s">
        <v>44</v>
      </c>
      <c r="N170">
        <v>5</v>
      </c>
      <c r="O170">
        <v>639.27</v>
      </c>
      <c r="P170">
        <v>0.2</v>
      </c>
      <c r="Q170">
        <v>2557.08</v>
      </c>
      <c r="R170">
        <v>2025.69</v>
      </c>
      <c r="S170">
        <v>531.39</v>
      </c>
      <c r="T170" t="s">
        <v>32</v>
      </c>
      <c r="U170" t="s">
        <v>68</v>
      </c>
      <c r="V170" t="str">
        <f>IF(OR(B170="Invalid Date",C170="Invalid Date"),"Invalid Date",C170-B170)</f>
        <v>Invalid Date</v>
      </c>
      <c r="W170" s="4" t="str">
        <f>IF(OR(B170="Invalid Date",C170="Invalid Date"),"Invalid Date",IF(C170&lt;B170,"Invalid Shipping","OK"))</f>
        <v>Invalid Date</v>
      </c>
      <c r="X170">
        <f t="shared" si="16"/>
        <v>1</v>
      </c>
      <c r="Y170">
        <f t="shared" si="17"/>
        <v>0.2</v>
      </c>
      <c r="Z170">
        <f t="shared" si="18"/>
        <v>2557.08</v>
      </c>
      <c r="AA170">
        <f t="shared" si="19"/>
        <v>531.38999999999987</v>
      </c>
      <c r="AB170" s="6">
        <f t="shared" si="20"/>
        <v>0.2078112534609789</v>
      </c>
      <c r="AC170" t="str">
        <f t="shared" si="21"/>
        <v/>
      </c>
      <c r="AD170" t="str">
        <f t="shared" si="22"/>
        <v/>
      </c>
      <c r="AE170" t="str">
        <f t="shared" si="23"/>
        <v>Invalid</v>
      </c>
    </row>
    <row r="171" spans="1:31">
      <c r="A171" t="s">
        <v>616</v>
      </c>
      <c r="B171" s="3">
        <v>45913</v>
      </c>
      <c r="C171" s="3" t="s">
        <v>2763</v>
      </c>
      <c r="D171" t="s">
        <v>617</v>
      </c>
      <c r="E171" t="s">
        <v>162</v>
      </c>
      <c r="F171" t="s">
        <v>24</v>
      </c>
      <c r="G171" t="s">
        <v>38</v>
      </c>
      <c r="H171" t="s">
        <v>166</v>
      </c>
      <c r="I171" t="s">
        <v>167</v>
      </c>
      <c r="J171" t="s">
        <v>28</v>
      </c>
      <c r="K171" t="s">
        <v>48</v>
      </c>
      <c r="L171" t="s">
        <v>618</v>
      </c>
      <c r="M171" t="s">
        <v>59</v>
      </c>
      <c r="N171">
        <v>8</v>
      </c>
      <c r="O171">
        <v>733.9</v>
      </c>
      <c r="P171">
        <v>0.05</v>
      </c>
      <c r="Q171">
        <v>5577.64</v>
      </c>
      <c r="R171">
        <v>3541.29</v>
      </c>
      <c r="S171">
        <v>2036.35</v>
      </c>
      <c r="T171" t="s">
        <v>111</v>
      </c>
      <c r="U171" t="s">
        <v>103</v>
      </c>
      <c r="V171" t="str">
        <f>IF(OR(B171="Invalid Date",C171="Invalid Date"),"Invalid Date",C171-B171)</f>
        <v>Invalid Date</v>
      </c>
      <c r="W171" s="4" t="str">
        <f>IF(OR(B171="Invalid Date",C171="Invalid Date"),"Invalid Date",IF(C171&lt;B171,"Invalid Shipping","OK"))</f>
        <v>Invalid Date</v>
      </c>
      <c r="X171">
        <f t="shared" si="16"/>
        <v>1</v>
      </c>
      <c r="Y171">
        <f t="shared" si="17"/>
        <v>0.05</v>
      </c>
      <c r="Z171">
        <f t="shared" si="18"/>
        <v>5577.6399999999994</v>
      </c>
      <c r="AA171">
        <f t="shared" si="19"/>
        <v>2036.3499999999995</v>
      </c>
      <c r="AB171" s="6">
        <f t="shared" si="20"/>
        <v>0.36509168752375548</v>
      </c>
      <c r="AC171" t="str">
        <f t="shared" si="21"/>
        <v>September</v>
      </c>
      <c r="AD171">
        <f t="shared" si="22"/>
        <v>2025</v>
      </c>
      <c r="AE171" t="str">
        <f t="shared" si="23"/>
        <v>Invalid</v>
      </c>
    </row>
    <row r="172" spans="1:31">
      <c r="A172" t="s">
        <v>619</v>
      </c>
      <c r="B172" s="3">
        <v>45907</v>
      </c>
      <c r="C172" s="3" t="s">
        <v>2763</v>
      </c>
      <c r="D172" t="s">
        <v>620</v>
      </c>
      <c r="E172" t="s">
        <v>141</v>
      </c>
      <c r="F172" t="s">
        <v>90</v>
      </c>
      <c r="G172" t="s">
        <v>38</v>
      </c>
      <c r="H172" t="s">
        <v>145</v>
      </c>
      <c r="I172" t="s">
        <v>146</v>
      </c>
      <c r="J172" t="s">
        <v>74</v>
      </c>
      <c r="K172" t="s">
        <v>80</v>
      </c>
      <c r="L172" t="s">
        <v>621</v>
      </c>
      <c r="M172" t="s">
        <v>59</v>
      </c>
      <c r="N172">
        <v>3</v>
      </c>
      <c r="O172">
        <v>1711.32</v>
      </c>
      <c r="P172">
        <v>0</v>
      </c>
      <c r="Q172">
        <v>5133.96</v>
      </c>
      <c r="R172">
        <v>3930</v>
      </c>
      <c r="S172">
        <v>1203.96</v>
      </c>
      <c r="T172" t="s">
        <v>32</v>
      </c>
      <c r="U172" t="s">
        <v>33</v>
      </c>
      <c r="V172" t="str">
        <f>IF(OR(B172="Invalid Date",C172="Invalid Date"),"Invalid Date",C172-B172)</f>
        <v>Invalid Date</v>
      </c>
      <c r="W172" s="4" t="str">
        <f>IF(OR(B172="Invalid Date",C172="Invalid Date"),"Invalid Date",IF(C172&lt;B172,"Invalid Shipping","OK"))</f>
        <v>Invalid Date</v>
      </c>
      <c r="X172">
        <f t="shared" si="16"/>
        <v>2</v>
      </c>
      <c r="Y172">
        <f t="shared" si="17"/>
        <v>0</v>
      </c>
      <c r="Z172">
        <f t="shared" si="18"/>
        <v>5133.96</v>
      </c>
      <c r="AA172">
        <f t="shared" si="19"/>
        <v>1203.96</v>
      </c>
      <c r="AB172" s="6">
        <f t="shared" si="20"/>
        <v>0.23450903396208775</v>
      </c>
      <c r="AC172" t="str">
        <f t="shared" si="21"/>
        <v>September</v>
      </c>
      <c r="AD172">
        <f t="shared" si="22"/>
        <v>2025</v>
      </c>
      <c r="AE172" t="str">
        <f t="shared" si="23"/>
        <v>Invalid</v>
      </c>
    </row>
    <row r="173" spans="1:31">
      <c r="A173" t="s">
        <v>622</v>
      </c>
      <c r="B173" s="3">
        <v>45711</v>
      </c>
      <c r="C173" s="3" t="s">
        <v>2763</v>
      </c>
      <c r="D173" t="s">
        <v>623</v>
      </c>
      <c r="E173" t="s">
        <v>23</v>
      </c>
      <c r="F173" t="s">
        <v>90</v>
      </c>
      <c r="G173" t="s">
        <v>38</v>
      </c>
      <c r="H173" t="s">
        <v>145</v>
      </c>
      <c r="I173" t="s">
        <v>146</v>
      </c>
      <c r="J173" t="s">
        <v>28</v>
      </c>
      <c r="K173" t="s">
        <v>91</v>
      </c>
      <c r="L173" t="s">
        <v>624</v>
      </c>
      <c r="M173" t="s">
        <v>44</v>
      </c>
      <c r="N173">
        <v>5</v>
      </c>
      <c r="O173">
        <v>4246.2700000000004</v>
      </c>
      <c r="P173">
        <v>0.25</v>
      </c>
      <c r="Q173">
        <v>15923.51</v>
      </c>
      <c r="R173">
        <v>11291.8</v>
      </c>
      <c r="S173">
        <v>4631.71</v>
      </c>
      <c r="T173" t="s">
        <v>32</v>
      </c>
      <c r="U173" t="s">
        <v>33</v>
      </c>
      <c r="V173" t="str">
        <f>IF(OR(B173="Invalid Date",C173="Invalid Date"),"Invalid Date",C173-B173)</f>
        <v>Invalid Date</v>
      </c>
      <c r="W173" s="4" t="str">
        <f>IF(OR(B173="Invalid Date",C173="Invalid Date"),"Invalid Date",IF(C173&lt;B173,"Invalid Shipping","OK"))</f>
        <v>Invalid Date</v>
      </c>
      <c r="X173">
        <f t="shared" si="16"/>
        <v>1</v>
      </c>
      <c r="Y173">
        <f t="shared" si="17"/>
        <v>0.25</v>
      </c>
      <c r="Z173">
        <f t="shared" si="18"/>
        <v>15923.512500000001</v>
      </c>
      <c r="AA173">
        <f t="shared" si="19"/>
        <v>4631.7125000000015</v>
      </c>
      <c r="AB173" s="6">
        <f t="shared" si="20"/>
        <v>0.29087253832971849</v>
      </c>
      <c r="AC173" t="str">
        <f t="shared" si="21"/>
        <v>February</v>
      </c>
      <c r="AD173">
        <f t="shared" si="22"/>
        <v>2025</v>
      </c>
      <c r="AE173" t="str">
        <f t="shared" si="23"/>
        <v>Invalid</v>
      </c>
    </row>
    <row r="174" spans="1:31">
      <c r="A174" t="s">
        <v>625</v>
      </c>
      <c r="B174" s="3">
        <v>45871</v>
      </c>
      <c r="C174" s="3">
        <v>45879</v>
      </c>
      <c r="D174" t="s">
        <v>626</v>
      </c>
      <c r="E174" t="s">
        <v>23</v>
      </c>
      <c r="F174" t="s">
        <v>90</v>
      </c>
      <c r="G174" t="s">
        <v>25</v>
      </c>
      <c r="H174" t="s">
        <v>350</v>
      </c>
      <c r="I174" t="s">
        <v>351</v>
      </c>
      <c r="J174" t="s">
        <v>41</v>
      </c>
      <c r="K174" t="s">
        <v>57</v>
      </c>
      <c r="L174" t="s">
        <v>627</v>
      </c>
      <c r="M174" t="s">
        <v>44</v>
      </c>
      <c r="N174">
        <v>9</v>
      </c>
      <c r="O174">
        <v>2962.62</v>
      </c>
      <c r="P174">
        <v>0.1</v>
      </c>
      <c r="Q174">
        <v>23997.22</v>
      </c>
      <c r="R174">
        <v>16134.63</v>
      </c>
      <c r="S174">
        <v>7862.59</v>
      </c>
      <c r="T174" t="s">
        <v>102</v>
      </c>
      <c r="U174" t="s">
        <v>103</v>
      </c>
      <c r="V174">
        <f>IF(OR(B174="Invalid Date",C174="Invalid Date"),"Invalid Date",C174-B174)</f>
        <v>8</v>
      </c>
      <c r="W174" s="4" t="str">
        <f>IF(OR(B174="Invalid Date",C174="Invalid Date"),"Invalid Date",IF(C174&lt;B174,"Invalid Shipping","OK"))</f>
        <v>OK</v>
      </c>
      <c r="X174">
        <f t="shared" si="16"/>
        <v>1</v>
      </c>
      <c r="Y174">
        <f t="shared" si="17"/>
        <v>0.1</v>
      </c>
      <c r="Z174">
        <f t="shared" si="18"/>
        <v>23997.221999999998</v>
      </c>
      <c r="AA174">
        <f t="shared" si="19"/>
        <v>7862.5919999999987</v>
      </c>
      <c r="AB174" s="6">
        <f t="shared" si="20"/>
        <v>0.32764592501582057</v>
      </c>
      <c r="AC174" t="str">
        <f t="shared" si="21"/>
        <v>August</v>
      </c>
      <c r="AD174">
        <f t="shared" si="22"/>
        <v>2025</v>
      </c>
      <c r="AE174" t="str">
        <f t="shared" si="23"/>
        <v>Clean</v>
      </c>
    </row>
    <row r="175" spans="1:31">
      <c r="A175" t="s">
        <v>628</v>
      </c>
      <c r="B175" s="3">
        <v>45414</v>
      </c>
      <c r="C175" s="3">
        <v>45420</v>
      </c>
      <c r="D175" t="s">
        <v>629</v>
      </c>
      <c r="E175" t="s">
        <v>114</v>
      </c>
      <c r="F175" t="s">
        <v>95</v>
      </c>
      <c r="G175" t="s">
        <v>25</v>
      </c>
      <c r="H175" t="s">
        <v>122</v>
      </c>
      <c r="I175" t="s">
        <v>123</v>
      </c>
      <c r="J175" t="s">
        <v>74</v>
      </c>
      <c r="K175" t="s">
        <v>80</v>
      </c>
      <c r="L175" t="s">
        <v>630</v>
      </c>
      <c r="M175" t="s">
        <v>31</v>
      </c>
      <c r="N175">
        <v>1</v>
      </c>
      <c r="O175">
        <v>2312.25</v>
      </c>
      <c r="P175">
        <v>0.25</v>
      </c>
      <c r="Q175">
        <v>1734.19</v>
      </c>
      <c r="R175">
        <v>1386.07</v>
      </c>
      <c r="S175">
        <v>348.12</v>
      </c>
      <c r="T175" t="s">
        <v>32</v>
      </c>
      <c r="U175" t="s">
        <v>33</v>
      </c>
      <c r="V175">
        <f>IF(OR(B175="Invalid Date",C175="Invalid Date"),"Invalid Date",C175-B175)</f>
        <v>6</v>
      </c>
      <c r="W175" s="4" t="str">
        <f>IF(OR(B175="Invalid Date",C175="Invalid Date"),"Invalid Date",IF(C175&lt;B175,"Invalid Shipping","OK"))</f>
        <v>OK</v>
      </c>
      <c r="X175">
        <f t="shared" si="16"/>
        <v>1</v>
      </c>
      <c r="Y175">
        <f t="shared" si="17"/>
        <v>0.25</v>
      </c>
      <c r="Z175">
        <f t="shared" si="18"/>
        <v>1734.1875</v>
      </c>
      <c r="AA175">
        <f t="shared" si="19"/>
        <v>348.11750000000006</v>
      </c>
      <c r="AB175" s="6">
        <f t="shared" si="20"/>
        <v>0.20073809781237614</v>
      </c>
      <c r="AC175" t="str">
        <f t="shared" si="21"/>
        <v>May</v>
      </c>
      <c r="AD175">
        <f t="shared" si="22"/>
        <v>2024</v>
      </c>
      <c r="AE175" t="str">
        <f t="shared" si="23"/>
        <v>Clean</v>
      </c>
    </row>
    <row r="176" spans="1:31">
      <c r="A176" t="s">
        <v>631</v>
      </c>
      <c r="B176" s="3">
        <v>45928</v>
      </c>
      <c r="C176" s="3">
        <v>45934</v>
      </c>
      <c r="D176" t="s">
        <v>632</v>
      </c>
      <c r="E176" t="s">
        <v>23</v>
      </c>
      <c r="F176" t="s">
        <v>37</v>
      </c>
      <c r="G176" t="s">
        <v>54</v>
      </c>
      <c r="H176" t="s">
        <v>175</v>
      </c>
      <c r="I176" t="s">
        <v>176</v>
      </c>
      <c r="J176" t="s">
        <v>41</v>
      </c>
      <c r="K176" t="s">
        <v>158</v>
      </c>
      <c r="L176" t="s">
        <v>633</v>
      </c>
      <c r="M176" t="s">
        <v>50</v>
      </c>
      <c r="N176">
        <v>6</v>
      </c>
      <c r="O176">
        <v>1620.53</v>
      </c>
      <c r="P176">
        <v>0.15</v>
      </c>
      <c r="Q176">
        <v>8264.7000000000007</v>
      </c>
      <c r="R176">
        <v>4768.75</v>
      </c>
      <c r="S176">
        <v>3495.95</v>
      </c>
      <c r="T176" t="s">
        <v>111</v>
      </c>
      <c r="U176" t="s">
        <v>103</v>
      </c>
      <c r="V176">
        <f>IF(OR(B176="Invalid Date",C176="Invalid Date"),"Invalid Date",C176-B176)</f>
        <v>6</v>
      </c>
      <c r="W176" s="4" t="str">
        <f>IF(OR(B176="Invalid Date",C176="Invalid Date"),"Invalid Date",IF(C176&lt;B176,"Invalid Shipping","OK"))</f>
        <v>OK</v>
      </c>
      <c r="X176">
        <f t="shared" si="16"/>
        <v>1</v>
      </c>
      <c r="Y176">
        <f t="shared" si="17"/>
        <v>0.15</v>
      </c>
      <c r="Z176">
        <f t="shared" si="18"/>
        <v>8264.7029999999995</v>
      </c>
      <c r="AA176">
        <f t="shared" si="19"/>
        <v>3495.9529999999995</v>
      </c>
      <c r="AB176" s="6">
        <f t="shared" si="20"/>
        <v>0.42299801940856191</v>
      </c>
      <c r="AC176" t="str">
        <f t="shared" si="21"/>
        <v>September</v>
      </c>
      <c r="AD176">
        <f t="shared" si="22"/>
        <v>2025</v>
      </c>
      <c r="AE176" t="str">
        <f t="shared" si="23"/>
        <v>Clean</v>
      </c>
    </row>
    <row r="177" spans="1:31">
      <c r="A177" t="s">
        <v>634</v>
      </c>
      <c r="B177" s="3">
        <v>45318</v>
      </c>
      <c r="C177" s="3">
        <v>45325</v>
      </c>
      <c r="D177" t="s">
        <v>635</v>
      </c>
      <c r="E177" t="s">
        <v>53</v>
      </c>
      <c r="F177" t="s">
        <v>37</v>
      </c>
      <c r="G177" t="s">
        <v>38</v>
      </c>
      <c r="H177" t="s">
        <v>145</v>
      </c>
      <c r="I177" t="s">
        <v>146</v>
      </c>
      <c r="J177" t="s">
        <v>74</v>
      </c>
      <c r="K177" t="s">
        <v>274</v>
      </c>
      <c r="L177" t="s">
        <v>636</v>
      </c>
      <c r="M177" t="s">
        <v>44</v>
      </c>
      <c r="N177">
        <v>7</v>
      </c>
      <c r="O177">
        <v>2673.42</v>
      </c>
      <c r="P177">
        <v>0.15</v>
      </c>
      <c r="Q177">
        <v>15906.85</v>
      </c>
      <c r="R177">
        <v>11014.46</v>
      </c>
      <c r="S177">
        <v>4892.3900000000003</v>
      </c>
      <c r="T177" t="s">
        <v>32</v>
      </c>
      <c r="U177" t="s">
        <v>103</v>
      </c>
      <c r="V177">
        <f>IF(OR(B177="Invalid Date",C177="Invalid Date"),"Invalid Date",C177-B177)</f>
        <v>7</v>
      </c>
      <c r="W177" s="4" t="str">
        <f>IF(OR(B177="Invalid Date",C177="Invalid Date"),"Invalid Date",IF(C177&lt;B177,"Invalid Shipping","OK"))</f>
        <v>OK</v>
      </c>
      <c r="X177">
        <f t="shared" si="16"/>
        <v>1</v>
      </c>
      <c r="Y177">
        <f t="shared" si="17"/>
        <v>0.15</v>
      </c>
      <c r="Z177">
        <f t="shared" si="18"/>
        <v>15906.849000000002</v>
      </c>
      <c r="AA177">
        <f t="shared" si="19"/>
        <v>4892.3890000000029</v>
      </c>
      <c r="AB177" s="6">
        <f t="shared" si="20"/>
        <v>0.30756493633654297</v>
      </c>
      <c r="AC177" t="str">
        <f t="shared" si="21"/>
        <v>January</v>
      </c>
      <c r="AD177">
        <f t="shared" si="22"/>
        <v>2024</v>
      </c>
      <c r="AE177" t="str">
        <f t="shared" si="23"/>
        <v>Clean</v>
      </c>
    </row>
    <row r="178" spans="1:31">
      <c r="A178" t="s">
        <v>637</v>
      </c>
      <c r="B178" s="3">
        <v>45734</v>
      </c>
      <c r="C178" s="3" t="s">
        <v>2763</v>
      </c>
      <c r="D178" t="s">
        <v>638</v>
      </c>
      <c r="E178" t="s">
        <v>71</v>
      </c>
      <c r="F178" t="s">
        <v>90</v>
      </c>
      <c r="G178" t="s">
        <v>38</v>
      </c>
      <c r="H178" t="s">
        <v>228</v>
      </c>
      <c r="I178" t="s">
        <v>229</v>
      </c>
      <c r="J178" t="s">
        <v>41</v>
      </c>
      <c r="K178" t="s">
        <v>158</v>
      </c>
      <c r="L178" t="s">
        <v>639</v>
      </c>
      <c r="M178" t="s">
        <v>59</v>
      </c>
      <c r="N178">
        <v>8</v>
      </c>
      <c r="O178">
        <v>3563.09</v>
      </c>
      <c r="P178">
        <v>0.15</v>
      </c>
      <c r="Q178">
        <v>24229.01</v>
      </c>
      <c r="R178">
        <v>13910.64</v>
      </c>
      <c r="S178">
        <v>10318.370000000001</v>
      </c>
      <c r="T178" t="s">
        <v>32</v>
      </c>
      <c r="U178" t="s">
        <v>33</v>
      </c>
      <c r="V178" t="str">
        <f>IF(OR(B178="Invalid Date",C178="Invalid Date"),"Invalid Date",C178-B178)</f>
        <v>Invalid Date</v>
      </c>
      <c r="W178" s="4" t="str">
        <f>IF(OR(B178="Invalid Date",C178="Invalid Date"),"Invalid Date",IF(C178&lt;B178,"Invalid Shipping","OK"))</f>
        <v>Invalid Date</v>
      </c>
      <c r="X178">
        <f t="shared" si="16"/>
        <v>1</v>
      </c>
      <c r="Y178">
        <f t="shared" si="17"/>
        <v>0.15</v>
      </c>
      <c r="Z178">
        <f t="shared" si="18"/>
        <v>24229.011999999999</v>
      </c>
      <c r="AA178">
        <f t="shared" si="19"/>
        <v>10318.371999999999</v>
      </c>
      <c r="AB178" s="6">
        <f t="shared" si="20"/>
        <v>0.42586845885420338</v>
      </c>
      <c r="AC178" t="str">
        <f t="shared" si="21"/>
        <v>March</v>
      </c>
      <c r="AD178">
        <f t="shared" si="22"/>
        <v>2025</v>
      </c>
      <c r="AE178" t="str">
        <f t="shared" si="23"/>
        <v>Invalid</v>
      </c>
    </row>
    <row r="179" spans="1:31">
      <c r="A179" t="s">
        <v>640</v>
      </c>
      <c r="B179" s="3">
        <v>45444</v>
      </c>
      <c r="C179" s="3">
        <v>45357</v>
      </c>
      <c r="D179" t="s">
        <v>641</v>
      </c>
      <c r="E179" t="s">
        <v>132</v>
      </c>
      <c r="F179" t="s">
        <v>95</v>
      </c>
      <c r="G179" t="s">
        <v>2767</v>
      </c>
      <c r="H179" t="s">
        <v>145</v>
      </c>
      <c r="I179" t="s">
        <v>146</v>
      </c>
      <c r="J179" t="s">
        <v>28</v>
      </c>
      <c r="K179" t="s">
        <v>48</v>
      </c>
      <c r="L179" t="s">
        <v>642</v>
      </c>
      <c r="M179" t="s">
        <v>44</v>
      </c>
      <c r="N179">
        <v>8</v>
      </c>
      <c r="O179">
        <v>3879.95</v>
      </c>
      <c r="P179">
        <v>0</v>
      </c>
      <c r="Q179">
        <v>31039.599999999999</v>
      </c>
      <c r="R179">
        <v>20866.72</v>
      </c>
      <c r="S179">
        <v>10172.879999999999</v>
      </c>
      <c r="T179" t="s">
        <v>32</v>
      </c>
      <c r="U179" t="s">
        <v>33</v>
      </c>
      <c r="V179">
        <f>IF(OR(B179="Invalid Date",C179="Invalid Date"),"Invalid Date",C179-B179)</f>
        <v>-87</v>
      </c>
      <c r="W179" s="4" t="str">
        <f>IF(OR(B179="Invalid Date",C179="Invalid Date"),"Invalid Date",IF(C179&lt;B179,"Invalid Shipping","OK"))</f>
        <v>Invalid Shipping</v>
      </c>
      <c r="X179">
        <f t="shared" si="16"/>
        <v>1</v>
      </c>
      <c r="Y179">
        <f t="shared" si="17"/>
        <v>0</v>
      </c>
      <c r="Z179">
        <f t="shared" si="18"/>
        <v>31039.599999999999</v>
      </c>
      <c r="AA179">
        <f t="shared" si="19"/>
        <v>10172.879999999997</v>
      </c>
      <c r="AB179" s="6">
        <f t="shared" si="20"/>
        <v>0.32773875952009685</v>
      </c>
      <c r="AC179" t="str">
        <f t="shared" si="21"/>
        <v>June</v>
      </c>
      <c r="AD179">
        <f t="shared" si="22"/>
        <v>2024</v>
      </c>
      <c r="AE179" t="str">
        <f t="shared" si="23"/>
        <v>Invalid</v>
      </c>
    </row>
    <row r="180" spans="1:31">
      <c r="A180" t="s">
        <v>643</v>
      </c>
      <c r="B180" s="3">
        <v>45565</v>
      </c>
      <c r="C180" s="3">
        <v>45565</v>
      </c>
      <c r="D180" t="s">
        <v>644</v>
      </c>
      <c r="E180" t="s">
        <v>47</v>
      </c>
      <c r="F180" t="s">
        <v>90</v>
      </c>
      <c r="G180" t="s">
        <v>54</v>
      </c>
      <c r="H180" t="s">
        <v>55</v>
      </c>
      <c r="I180" t="s">
        <v>56</v>
      </c>
      <c r="J180" t="s">
        <v>28</v>
      </c>
      <c r="K180" t="s">
        <v>48</v>
      </c>
      <c r="L180" t="s">
        <v>645</v>
      </c>
      <c r="M180" t="s">
        <v>59</v>
      </c>
      <c r="N180">
        <v>4</v>
      </c>
      <c r="O180">
        <v>3281.74</v>
      </c>
      <c r="P180">
        <v>0</v>
      </c>
      <c r="Q180">
        <v>13126.96</v>
      </c>
      <c r="R180">
        <v>10732.44</v>
      </c>
      <c r="S180">
        <v>2394.52</v>
      </c>
      <c r="T180" t="s">
        <v>32</v>
      </c>
      <c r="U180" t="s">
        <v>33</v>
      </c>
      <c r="V180">
        <f>IF(OR(B180="Invalid Date",C180="Invalid Date"),"Invalid Date",C180-B180)</f>
        <v>0</v>
      </c>
      <c r="W180" s="4" t="str">
        <f>IF(OR(B180="Invalid Date",C180="Invalid Date"),"Invalid Date",IF(C180&lt;B180,"Invalid Shipping","OK"))</f>
        <v>OK</v>
      </c>
      <c r="X180">
        <f t="shared" si="16"/>
        <v>1</v>
      </c>
      <c r="Y180">
        <f t="shared" si="17"/>
        <v>0</v>
      </c>
      <c r="Z180">
        <f t="shared" si="18"/>
        <v>13126.96</v>
      </c>
      <c r="AA180">
        <f t="shared" si="19"/>
        <v>2394.5199999999986</v>
      </c>
      <c r="AB180" s="6">
        <f t="shared" si="20"/>
        <v>0.18241237879905162</v>
      </c>
      <c r="AC180" t="str">
        <f t="shared" si="21"/>
        <v>September</v>
      </c>
      <c r="AD180">
        <f t="shared" si="22"/>
        <v>2024</v>
      </c>
      <c r="AE180" t="str">
        <f t="shared" si="23"/>
        <v>Clean</v>
      </c>
    </row>
    <row r="181" spans="1:31">
      <c r="A181" t="s">
        <v>646</v>
      </c>
      <c r="B181" s="3">
        <v>45366</v>
      </c>
      <c r="C181" s="3" t="s">
        <v>2763</v>
      </c>
      <c r="D181" t="s">
        <v>647</v>
      </c>
      <c r="E181" t="s">
        <v>62</v>
      </c>
      <c r="F181" t="s">
        <v>37</v>
      </c>
      <c r="G181" t="s">
        <v>54</v>
      </c>
      <c r="H181" t="s">
        <v>247</v>
      </c>
      <c r="I181" t="s">
        <v>248</v>
      </c>
      <c r="J181" t="s">
        <v>41</v>
      </c>
      <c r="K181" t="s">
        <v>57</v>
      </c>
      <c r="L181" t="s">
        <v>648</v>
      </c>
      <c r="M181" t="s">
        <v>59</v>
      </c>
      <c r="N181">
        <v>4</v>
      </c>
      <c r="O181">
        <v>3186.3</v>
      </c>
      <c r="P181">
        <v>0.25</v>
      </c>
      <c r="Q181">
        <v>9558.9</v>
      </c>
      <c r="R181">
        <v>5516.76</v>
      </c>
      <c r="S181">
        <v>4042.14</v>
      </c>
      <c r="T181" t="s">
        <v>102</v>
      </c>
      <c r="U181" t="s">
        <v>103</v>
      </c>
      <c r="V181" t="str">
        <f>IF(OR(B181="Invalid Date",C181="Invalid Date"),"Invalid Date",C181-B181)</f>
        <v>Invalid Date</v>
      </c>
      <c r="W181" s="4" t="str">
        <f>IF(OR(B181="Invalid Date",C181="Invalid Date"),"Invalid Date",IF(C181&lt;B181,"Invalid Shipping","OK"))</f>
        <v>Invalid Date</v>
      </c>
      <c r="X181">
        <f t="shared" si="16"/>
        <v>1</v>
      </c>
      <c r="Y181">
        <f t="shared" si="17"/>
        <v>0.25</v>
      </c>
      <c r="Z181">
        <f t="shared" si="18"/>
        <v>9558.9000000000015</v>
      </c>
      <c r="AA181">
        <f t="shared" si="19"/>
        <v>4042.1400000000012</v>
      </c>
      <c r="AB181" s="6">
        <f t="shared" si="20"/>
        <v>0.42286664783604816</v>
      </c>
      <c r="AC181" t="str">
        <f t="shared" si="21"/>
        <v>March</v>
      </c>
      <c r="AD181">
        <f t="shared" si="22"/>
        <v>2024</v>
      </c>
      <c r="AE181" t="str">
        <f t="shared" si="23"/>
        <v>Invalid</v>
      </c>
    </row>
    <row r="182" spans="1:31">
      <c r="A182" t="s">
        <v>649</v>
      </c>
      <c r="B182" s="3">
        <v>45530</v>
      </c>
      <c r="C182" s="3">
        <v>45530</v>
      </c>
      <c r="D182" t="s">
        <v>650</v>
      </c>
      <c r="E182" t="s">
        <v>36</v>
      </c>
      <c r="F182" t="s">
        <v>95</v>
      </c>
      <c r="G182" t="s">
        <v>25</v>
      </c>
      <c r="H182" t="s">
        <v>136</v>
      </c>
      <c r="I182" t="s">
        <v>137</v>
      </c>
      <c r="J182" t="s">
        <v>28</v>
      </c>
      <c r="K182" t="s">
        <v>153</v>
      </c>
      <c r="L182" t="s">
        <v>651</v>
      </c>
      <c r="M182" t="s">
        <v>50</v>
      </c>
      <c r="N182">
        <v>7</v>
      </c>
      <c r="O182">
        <v>844.59</v>
      </c>
      <c r="P182">
        <v>0.1</v>
      </c>
      <c r="Q182">
        <v>5320.92</v>
      </c>
      <c r="R182">
        <v>3041.5</v>
      </c>
      <c r="S182">
        <v>2279.42</v>
      </c>
      <c r="T182" t="s">
        <v>32</v>
      </c>
      <c r="U182" t="s">
        <v>33</v>
      </c>
      <c r="V182">
        <f>IF(OR(B182="Invalid Date",C182="Invalid Date"),"Invalid Date",C182-B182)</f>
        <v>0</v>
      </c>
      <c r="W182" s="4" t="str">
        <f>IF(OR(B182="Invalid Date",C182="Invalid Date"),"Invalid Date",IF(C182&lt;B182,"Invalid Shipping","OK"))</f>
        <v>OK</v>
      </c>
      <c r="X182">
        <f t="shared" si="16"/>
        <v>1</v>
      </c>
      <c r="Y182">
        <f t="shared" si="17"/>
        <v>0.1</v>
      </c>
      <c r="Z182">
        <f t="shared" si="18"/>
        <v>5320.9170000000004</v>
      </c>
      <c r="AA182">
        <f t="shared" si="19"/>
        <v>2279.4170000000004</v>
      </c>
      <c r="AB182" s="6">
        <f t="shared" si="20"/>
        <v>0.42838800154183954</v>
      </c>
      <c r="AC182" t="str">
        <f t="shared" si="21"/>
        <v>August</v>
      </c>
      <c r="AD182">
        <f t="shared" si="22"/>
        <v>2024</v>
      </c>
      <c r="AE182" t="str">
        <f t="shared" si="23"/>
        <v>Clean</v>
      </c>
    </row>
    <row r="183" spans="1:31">
      <c r="A183" t="s">
        <v>652</v>
      </c>
      <c r="B183" s="3">
        <v>45909</v>
      </c>
      <c r="C183" s="3">
        <v>45910</v>
      </c>
      <c r="D183" t="s">
        <v>653</v>
      </c>
      <c r="E183" t="s">
        <v>114</v>
      </c>
      <c r="F183" t="s">
        <v>95</v>
      </c>
      <c r="G183" t="s">
        <v>54</v>
      </c>
      <c r="H183" t="s">
        <v>247</v>
      </c>
      <c r="I183" t="s">
        <v>248</v>
      </c>
      <c r="J183" t="s">
        <v>28</v>
      </c>
      <c r="K183" t="s">
        <v>48</v>
      </c>
      <c r="L183" t="s">
        <v>654</v>
      </c>
      <c r="M183" t="s">
        <v>31</v>
      </c>
      <c r="N183">
        <v>4</v>
      </c>
      <c r="O183">
        <v>2551.4499999999998</v>
      </c>
      <c r="P183">
        <v>0</v>
      </c>
      <c r="Q183">
        <v>10205.799999999999</v>
      </c>
      <c r="R183">
        <v>5986.31</v>
      </c>
      <c r="S183">
        <v>4219.49</v>
      </c>
      <c r="T183" t="s">
        <v>32</v>
      </c>
      <c r="U183" t="s">
        <v>33</v>
      </c>
      <c r="V183">
        <f>IF(OR(B183="Invalid Date",C183="Invalid Date"),"Invalid Date",C183-B183)</f>
        <v>1</v>
      </c>
      <c r="W183" s="4" t="str">
        <f>IF(OR(B183="Invalid Date",C183="Invalid Date"),"Invalid Date",IF(C183&lt;B183,"Invalid Shipping","OK"))</f>
        <v>OK</v>
      </c>
      <c r="X183">
        <f t="shared" si="16"/>
        <v>1</v>
      </c>
      <c r="Y183">
        <f t="shared" si="17"/>
        <v>0</v>
      </c>
      <c r="Z183">
        <f t="shared" si="18"/>
        <v>10205.799999999999</v>
      </c>
      <c r="AA183">
        <f t="shared" si="19"/>
        <v>4219.4899999999989</v>
      </c>
      <c r="AB183" s="6">
        <f t="shared" si="20"/>
        <v>0.41344039663720622</v>
      </c>
      <c r="AC183" t="str">
        <f t="shared" si="21"/>
        <v>September</v>
      </c>
      <c r="AD183">
        <f t="shared" si="22"/>
        <v>2025</v>
      </c>
      <c r="AE183" t="str">
        <f t="shared" si="23"/>
        <v>Clean</v>
      </c>
    </row>
    <row r="184" spans="1:31">
      <c r="A184" t="s">
        <v>655</v>
      </c>
      <c r="B184" s="3">
        <v>45581</v>
      </c>
      <c r="C184" s="3">
        <v>45581</v>
      </c>
      <c r="D184" t="s">
        <v>656</v>
      </c>
      <c r="E184" t="s">
        <v>62</v>
      </c>
      <c r="F184" t="s">
        <v>95</v>
      </c>
      <c r="G184" t="s">
        <v>38</v>
      </c>
      <c r="H184" t="s">
        <v>145</v>
      </c>
      <c r="I184" t="s">
        <v>146</v>
      </c>
      <c r="J184" t="s">
        <v>74</v>
      </c>
      <c r="K184" t="s">
        <v>274</v>
      </c>
      <c r="L184" t="s">
        <v>657</v>
      </c>
      <c r="M184" t="s">
        <v>59</v>
      </c>
      <c r="N184">
        <v>7</v>
      </c>
      <c r="O184">
        <v>775.77</v>
      </c>
      <c r="P184">
        <v>0</v>
      </c>
      <c r="Q184">
        <v>5430.39</v>
      </c>
      <c r="R184">
        <v>3707.66</v>
      </c>
      <c r="S184">
        <v>1722.73</v>
      </c>
      <c r="T184" t="s">
        <v>32</v>
      </c>
      <c r="U184" t="s">
        <v>33</v>
      </c>
      <c r="V184">
        <f>IF(OR(B184="Invalid Date",C184="Invalid Date"),"Invalid Date",C184-B184)</f>
        <v>0</v>
      </c>
      <c r="W184" s="4" t="str">
        <f>IF(OR(B184="Invalid Date",C184="Invalid Date"),"Invalid Date",IF(C184&lt;B184,"Invalid Shipping","OK"))</f>
        <v>OK</v>
      </c>
      <c r="X184">
        <f t="shared" si="16"/>
        <v>1</v>
      </c>
      <c r="Y184">
        <f t="shared" si="17"/>
        <v>0</v>
      </c>
      <c r="Z184">
        <f t="shared" si="18"/>
        <v>5430.3899999999994</v>
      </c>
      <c r="AA184">
        <f t="shared" si="19"/>
        <v>1722.7299999999996</v>
      </c>
      <c r="AB184" s="6">
        <f t="shared" si="20"/>
        <v>0.31723872502711586</v>
      </c>
      <c r="AC184" t="str">
        <f t="shared" si="21"/>
        <v>October</v>
      </c>
      <c r="AD184">
        <f t="shared" si="22"/>
        <v>2024</v>
      </c>
      <c r="AE184" t="str">
        <f t="shared" si="23"/>
        <v>Clean</v>
      </c>
    </row>
    <row r="185" spans="1:31">
      <c r="A185" t="s">
        <v>658</v>
      </c>
      <c r="B185" s="3">
        <v>45832</v>
      </c>
      <c r="C185" s="3">
        <v>45835</v>
      </c>
      <c r="D185" t="s">
        <v>659</v>
      </c>
      <c r="E185" t="s">
        <v>71</v>
      </c>
      <c r="F185" t="s">
        <v>95</v>
      </c>
      <c r="G185" t="s">
        <v>54</v>
      </c>
      <c r="H185" t="s">
        <v>55</v>
      </c>
      <c r="I185" t="s">
        <v>56</v>
      </c>
      <c r="J185" t="s">
        <v>74</v>
      </c>
      <c r="K185" t="s">
        <v>80</v>
      </c>
      <c r="L185" t="s">
        <v>660</v>
      </c>
      <c r="M185" t="s">
        <v>59</v>
      </c>
      <c r="N185">
        <v>7</v>
      </c>
      <c r="O185">
        <v>2304.86</v>
      </c>
      <c r="P185">
        <v>0.2</v>
      </c>
      <c r="Q185">
        <v>12907.22</v>
      </c>
      <c r="R185">
        <v>8327.89</v>
      </c>
      <c r="S185">
        <v>4579.33</v>
      </c>
      <c r="T185" t="s">
        <v>32</v>
      </c>
      <c r="U185" t="s">
        <v>103</v>
      </c>
      <c r="V185">
        <f>IF(OR(B185="Invalid Date",C185="Invalid Date"),"Invalid Date",C185-B185)</f>
        <v>3</v>
      </c>
      <c r="W185" s="4" t="str">
        <f>IF(OR(B185="Invalid Date",C185="Invalid Date"),"Invalid Date",IF(C185&lt;B185,"Invalid Shipping","OK"))</f>
        <v>OK</v>
      </c>
      <c r="X185">
        <f t="shared" si="16"/>
        <v>1</v>
      </c>
      <c r="Y185">
        <f t="shared" si="17"/>
        <v>0.2</v>
      </c>
      <c r="Z185">
        <f t="shared" si="18"/>
        <v>12907.216</v>
      </c>
      <c r="AA185">
        <f t="shared" si="19"/>
        <v>4579.3260000000009</v>
      </c>
      <c r="AB185" s="6">
        <f t="shared" si="20"/>
        <v>0.3547880503433119</v>
      </c>
      <c r="AC185" t="str">
        <f t="shared" si="21"/>
        <v>June</v>
      </c>
      <c r="AD185">
        <f t="shared" si="22"/>
        <v>2025</v>
      </c>
      <c r="AE185" t="str">
        <f t="shared" si="23"/>
        <v>Clean</v>
      </c>
    </row>
    <row r="186" spans="1:31">
      <c r="A186" t="s">
        <v>661</v>
      </c>
      <c r="B186" s="3">
        <v>45384</v>
      </c>
      <c r="C186" s="3">
        <v>45388</v>
      </c>
      <c r="D186" t="s">
        <v>662</v>
      </c>
      <c r="E186" t="s">
        <v>71</v>
      </c>
      <c r="F186" t="s">
        <v>90</v>
      </c>
      <c r="G186" t="s">
        <v>63</v>
      </c>
      <c r="H186" t="s">
        <v>72</v>
      </c>
      <c r="I186" t="s">
        <v>73</v>
      </c>
      <c r="J186" t="s">
        <v>41</v>
      </c>
      <c r="K186" t="s">
        <v>158</v>
      </c>
      <c r="L186" t="s">
        <v>663</v>
      </c>
      <c r="M186" t="s">
        <v>59</v>
      </c>
      <c r="N186">
        <v>2</v>
      </c>
      <c r="O186">
        <v>888.98</v>
      </c>
      <c r="P186">
        <v>0</v>
      </c>
      <c r="Q186">
        <v>1777.96</v>
      </c>
      <c r="R186">
        <v>1021.16</v>
      </c>
      <c r="S186">
        <v>756.8</v>
      </c>
      <c r="T186" t="s">
        <v>102</v>
      </c>
      <c r="U186" t="s">
        <v>103</v>
      </c>
      <c r="V186">
        <f>IF(OR(B186="Invalid Date",C186="Invalid Date"),"Invalid Date",C186-B186)</f>
        <v>4</v>
      </c>
      <c r="W186" s="4" t="str">
        <f>IF(OR(B186="Invalid Date",C186="Invalid Date"),"Invalid Date",IF(C186&lt;B186,"Invalid Shipping","OK"))</f>
        <v>OK</v>
      </c>
      <c r="X186">
        <f t="shared" si="16"/>
        <v>1</v>
      </c>
      <c r="Y186">
        <f t="shared" si="17"/>
        <v>0</v>
      </c>
      <c r="Z186">
        <f t="shared" si="18"/>
        <v>1777.96</v>
      </c>
      <c r="AA186">
        <f t="shared" si="19"/>
        <v>756.80000000000007</v>
      </c>
      <c r="AB186" s="6">
        <f t="shared" si="20"/>
        <v>0.42565637022205227</v>
      </c>
      <c r="AC186" t="str">
        <f t="shared" si="21"/>
        <v>April</v>
      </c>
      <c r="AD186">
        <f t="shared" si="22"/>
        <v>2024</v>
      </c>
      <c r="AE186" t="str">
        <f t="shared" si="23"/>
        <v>Clean</v>
      </c>
    </row>
    <row r="187" spans="1:31">
      <c r="A187" t="s">
        <v>664</v>
      </c>
      <c r="B187" s="3">
        <v>45423</v>
      </c>
      <c r="C187" s="3">
        <v>45609</v>
      </c>
      <c r="D187" t="s">
        <v>665</v>
      </c>
      <c r="E187" t="s">
        <v>53</v>
      </c>
      <c r="F187" t="s">
        <v>24</v>
      </c>
      <c r="G187" t="s">
        <v>2767</v>
      </c>
      <c r="H187" t="s">
        <v>122</v>
      </c>
      <c r="I187" t="s">
        <v>123</v>
      </c>
      <c r="J187" t="s">
        <v>28</v>
      </c>
      <c r="K187" t="s">
        <v>91</v>
      </c>
      <c r="L187" t="s">
        <v>666</v>
      </c>
      <c r="M187" t="s">
        <v>31</v>
      </c>
      <c r="N187">
        <v>2</v>
      </c>
      <c r="O187">
        <v>1003.17</v>
      </c>
      <c r="P187">
        <v>0.2</v>
      </c>
      <c r="Q187">
        <v>1605.07</v>
      </c>
      <c r="R187">
        <v>1337.28</v>
      </c>
      <c r="S187">
        <v>267.79000000000002</v>
      </c>
      <c r="T187" t="s">
        <v>32</v>
      </c>
      <c r="U187" t="s">
        <v>33</v>
      </c>
      <c r="V187">
        <f>IF(OR(B187="Invalid Date",C187="Invalid Date"),"Invalid Date",C187-B187)</f>
        <v>186</v>
      </c>
      <c r="W187" s="4" t="str">
        <f>IF(OR(B187="Invalid Date",C187="Invalid Date"),"Invalid Date",IF(C187&lt;B187,"Invalid Shipping","OK"))</f>
        <v>OK</v>
      </c>
      <c r="X187">
        <f t="shared" si="16"/>
        <v>1</v>
      </c>
      <c r="Y187">
        <f t="shared" si="17"/>
        <v>0.2</v>
      </c>
      <c r="Z187">
        <f t="shared" si="18"/>
        <v>1605.0720000000001</v>
      </c>
      <c r="AA187">
        <f t="shared" si="19"/>
        <v>267.79200000000014</v>
      </c>
      <c r="AB187" s="6">
        <f t="shared" si="20"/>
        <v>0.16684111366966722</v>
      </c>
      <c r="AC187" t="str">
        <f t="shared" si="21"/>
        <v>May</v>
      </c>
      <c r="AD187">
        <f t="shared" si="22"/>
        <v>2024</v>
      </c>
      <c r="AE187" t="str">
        <f t="shared" si="23"/>
        <v>Warning</v>
      </c>
    </row>
    <row r="188" spans="1:31">
      <c r="A188" t="s">
        <v>667</v>
      </c>
      <c r="B188" s="3">
        <v>45492</v>
      </c>
      <c r="C188" s="3">
        <v>45493</v>
      </c>
      <c r="D188" t="s">
        <v>263</v>
      </c>
      <c r="E188" t="s">
        <v>71</v>
      </c>
      <c r="F188" t="s">
        <v>24</v>
      </c>
      <c r="G188" t="s">
        <v>54</v>
      </c>
      <c r="H188" t="s">
        <v>247</v>
      </c>
      <c r="I188" t="s">
        <v>248</v>
      </c>
      <c r="J188" t="s">
        <v>41</v>
      </c>
      <c r="K188" t="s">
        <v>42</v>
      </c>
      <c r="L188" t="s">
        <v>668</v>
      </c>
      <c r="M188" t="s">
        <v>50</v>
      </c>
      <c r="N188">
        <v>7</v>
      </c>
      <c r="O188">
        <v>3608.43</v>
      </c>
      <c r="P188">
        <v>0.05</v>
      </c>
      <c r="Q188">
        <v>23996.06</v>
      </c>
      <c r="R188">
        <v>20167.28</v>
      </c>
      <c r="S188">
        <v>3828.78</v>
      </c>
      <c r="T188" t="s">
        <v>32</v>
      </c>
      <c r="U188" t="s">
        <v>33</v>
      </c>
      <c r="V188">
        <f>IF(OR(B188="Invalid Date",C188="Invalid Date"),"Invalid Date",C188-B188)</f>
        <v>1</v>
      </c>
      <c r="W188" s="4" t="str">
        <f>IF(OR(B188="Invalid Date",C188="Invalid Date"),"Invalid Date",IF(C188&lt;B188,"Invalid Shipping","OK"))</f>
        <v>OK</v>
      </c>
      <c r="X188">
        <f t="shared" si="16"/>
        <v>1</v>
      </c>
      <c r="Y188">
        <f t="shared" si="17"/>
        <v>0.05</v>
      </c>
      <c r="Z188">
        <f t="shared" si="18"/>
        <v>23996.059499999996</v>
      </c>
      <c r="AA188">
        <f t="shared" si="19"/>
        <v>3828.7794999999969</v>
      </c>
      <c r="AB188" s="6">
        <f t="shared" si="20"/>
        <v>0.15955867670689838</v>
      </c>
      <c r="AC188" t="str">
        <f t="shared" si="21"/>
        <v>July</v>
      </c>
      <c r="AD188">
        <f t="shared" si="22"/>
        <v>2024</v>
      </c>
      <c r="AE188" t="str">
        <f t="shared" si="23"/>
        <v>Clean</v>
      </c>
    </row>
    <row r="189" spans="1:31">
      <c r="A189" t="s">
        <v>669</v>
      </c>
      <c r="B189" s="3">
        <v>45778</v>
      </c>
      <c r="C189" s="3">
        <v>45779</v>
      </c>
      <c r="D189" t="s">
        <v>670</v>
      </c>
      <c r="E189" t="s">
        <v>36</v>
      </c>
      <c r="F189" t="s">
        <v>24</v>
      </c>
      <c r="G189" t="s">
        <v>63</v>
      </c>
      <c r="H189" t="s">
        <v>72</v>
      </c>
      <c r="I189" t="s">
        <v>73</v>
      </c>
      <c r="J189" t="s">
        <v>41</v>
      </c>
      <c r="K189" t="s">
        <v>66</v>
      </c>
      <c r="L189" t="s">
        <v>671</v>
      </c>
      <c r="M189" t="s">
        <v>44</v>
      </c>
      <c r="N189">
        <v>3</v>
      </c>
      <c r="O189">
        <v>2905.74</v>
      </c>
      <c r="P189">
        <v>0</v>
      </c>
      <c r="Q189">
        <v>8717.2199999999993</v>
      </c>
      <c r="R189">
        <v>6215.96</v>
      </c>
      <c r="S189">
        <v>2501.2600000000002</v>
      </c>
      <c r="T189" t="s">
        <v>32</v>
      </c>
      <c r="U189" t="s">
        <v>103</v>
      </c>
      <c r="V189">
        <f>IF(OR(B189="Invalid Date",C189="Invalid Date"),"Invalid Date",C189-B189)</f>
        <v>1</v>
      </c>
      <c r="W189" s="4" t="str">
        <f>IF(OR(B189="Invalid Date",C189="Invalid Date"),"Invalid Date",IF(C189&lt;B189,"Invalid Shipping","OK"))</f>
        <v>OK</v>
      </c>
      <c r="X189">
        <f t="shared" si="16"/>
        <v>1</v>
      </c>
      <c r="Y189">
        <f t="shared" si="17"/>
        <v>0</v>
      </c>
      <c r="Z189">
        <f t="shared" si="18"/>
        <v>8717.2199999999993</v>
      </c>
      <c r="AA189">
        <f t="shared" si="19"/>
        <v>2501.2599999999993</v>
      </c>
      <c r="AB189" s="6">
        <f t="shared" si="20"/>
        <v>0.28693321953558582</v>
      </c>
      <c r="AC189" t="str">
        <f t="shared" si="21"/>
        <v>May</v>
      </c>
      <c r="AD189">
        <f t="shared" si="22"/>
        <v>2025</v>
      </c>
      <c r="AE189" t="str">
        <f t="shared" si="23"/>
        <v>Clean</v>
      </c>
    </row>
    <row r="190" spans="1:31">
      <c r="A190" t="s">
        <v>672</v>
      </c>
      <c r="B190" s="3">
        <v>45798</v>
      </c>
      <c r="C190" s="3">
        <v>45805</v>
      </c>
      <c r="D190" t="s">
        <v>673</v>
      </c>
      <c r="E190" t="s">
        <v>114</v>
      </c>
      <c r="F190" t="s">
        <v>90</v>
      </c>
      <c r="G190" t="s">
        <v>38</v>
      </c>
      <c r="H190" t="s">
        <v>99</v>
      </c>
      <c r="I190" t="s">
        <v>100</v>
      </c>
      <c r="J190" t="s">
        <v>41</v>
      </c>
      <c r="K190" t="s">
        <v>158</v>
      </c>
      <c r="L190" t="s">
        <v>674</v>
      </c>
      <c r="M190" t="s">
        <v>44</v>
      </c>
      <c r="N190">
        <v>2</v>
      </c>
      <c r="O190">
        <v>3559.57</v>
      </c>
      <c r="P190">
        <v>0.1</v>
      </c>
      <c r="Q190">
        <v>6553.95</v>
      </c>
      <c r="R190">
        <v>4923.09</v>
      </c>
      <c r="S190">
        <v>1484.14</v>
      </c>
      <c r="T190" t="s">
        <v>32</v>
      </c>
      <c r="U190" t="s">
        <v>33</v>
      </c>
      <c r="V190">
        <f>IF(OR(B190="Invalid Date",C190="Invalid Date"),"Invalid Date",C190-B190)</f>
        <v>7</v>
      </c>
      <c r="W190" s="4" t="str">
        <f>IF(OR(B190="Invalid Date",C190="Invalid Date"),"Invalid Date",IF(C190&lt;B190,"Invalid Shipping","OK"))</f>
        <v>OK</v>
      </c>
      <c r="X190">
        <f t="shared" si="16"/>
        <v>1</v>
      </c>
      <c r="Y190">
        <f t="shared" si="17"/>
        <v>0.1</v>
      </c>
      <c r="Z190">
        <f t="shared" si="18"/>
        <v>6407.2260000000006</v>
      </c>
      <c r="AA190">
        <f t="shared" si="19"/>
        <v>1484.1360000000004</v>
      </c>
      <c r="AB190" s="6">
        <f t="shared" si="20"/>
        <v>0.23163471992403581</v>
      </c>
      <c r="AC190" t="str">
        <f t="shared" si="21"/>
        <v>May</v>
      </c>
      <c r="AD190">
        <f t="shared" si="22"/>
        <v>2025</v>
      </c>
      <c r="AE190" t="str">
        <f t="shared" si="23"/>
        <v>Clean</v>
      </c>
    </row>
    <row r="191" spans="1:31">
      <c r="A191" t="s">
        <v>675</v>
      </c>
      <c r="B191" s="3">
        <v>45783</v>
      </c>
      <c r="C191" s="3">
        <v>45784</v>
      </c>
      <c r="D191" t="s">
        <v>676</v>
      </c>
      <c r="E191" t="s">
        <v>53</v>
      </c>
      <c r="F191" t="s">
        <v>24</v>
      </c>
      <c r="G191" t="s">
        <v>63</v>
      </c>
      <c r="H191" t="s">
        <v>26</v>
      </c>
      <c r="I191" t="s">
        <v>109</v>
      </c>
      <c r="J191" t="s">
        <v>41</v>
      </c>
      <c r="K191" t="s">
        <v>158</v>
      </c>
      <c r="L191" t="s">
        <v>677</v>
      </c>
      <c r="M191" t="s">
        <v>50</v>
      </c>
      <c r="N191">
        <v>9</v>
      </c>
      <c r="O191">
        <v>3318.24</v>
      </c>
      <c r="P191">
        <v>0</v>
      </c>
      <c r="Q191">
        <v>25384.54</v>
      </c>
      <c r="R191">
        <v>16872.39</v>
      </c>
      <c r="S191">
        <v>8512.15</v>
      </c>
      <c r="T191" t="s">
        <v>32</v>
      </c>
      <c r="U191" t="s">
        <v>33</v>
      </c>
      <c r="V191">
        <f>IF(OR(B191="Invalid Date",C191="Invalid Date"),"Invalid Date",C191-B191)</f>
        <v>1</v>
      </c>
      <c r="W191" s="4" t="str">
        <f>IF(OR(B191="Invalid Date",C191="Invalid Date"),"Invalid Date",IF(C191&lt;B191,"Invalid Shipping","OK"))</f>
        <v>OK</v>
      </c>
      <c r="X191">
        <f t="shared" si="16"/>
        <v>1</v>
      </c>
      <c r="Y191">
        <f t="shared" si="17"/>
        <v>0</v>
      </c>
      <c r="Z191">
        <f t="shared" si="18"/>
        <v>29864.159999999996</v>
      </c>
      <c r="AA191">
        <f t="shared" si="19"/>
        <v>12991.769999999997</v>
      </c>
      <c r="AB191" s="6">
        <f t="shared" si="20"/>
        <v>0.43502881045373448</v>
      </c>
      <c r="AC191" t="str">
        <f t="shared" si="21"/>
        <v>May</v>
      </c>
      <c r="AD191">
        <f t="shared" si="22"/>
        <v>2025</v>
      </c>
      <c r="AE191" t="str">
        <f t="shared" si="23"/>
        <v>Clean</v>
      </c>
    </row>
    <row r="192" spans="1:31">
      <c r="A192" t="s">
        <v>678</v>
      </c>
      <c r="B192" s="3">
        <v>45767</v>
      </c>
      <c r="C192" s="3" t="s">
        <v>2763</v>
      </c>
      <c r="D192" t="s">
        <v>679</v>
      </c>
      <c r="E192" t="s">
        <v>89</v>
      </c>
      <c r="F192" t="s">
        <v>24</v>
      </c>
      <c r="G192" t="s">
        <v>54</v>
      </c>
      <c r="H192" t="s">
        <v>247</v>
      </c>
      <c r="I192" t="s">
        <v>248</v>
      </c>
      <c r="J192" t="s">
        <v>28</v>
      </c>
      <c r="K192" t="s">
        <v>124</v>
      </c>
      <c r="L192" t="s">
        <v>680</v>
      </c>
      <c r="M192" t="s">
        <v>50</v>
      </c>
      <c r="N192">
        <v>3</v>
      </c>
      <c r="O192">
        <v>540.09</v>
      </c>
      <c r="P192">
        <v>0.1</v>
      </c>
      <c r="Q192">
        <v>1458.24</v>
      </c>
      <c r="R192">
        <v>943.32</v>
      </c>
      <c r="S192">
        <v>514.91999999999996</v>
      </c>
      <c r="T192" t="s">
        <v>32</v>
      </c>
      <c r="U192" t="s">
        <v>33</v>
      </c>
      <c r="V192" t="str">
        <f>IF(OR(B192="Invalid Date",C192="Invalid Date"),"Invalid Date",C192-B192)</f>
        <v>Invalid Date</v>
      </c>
      <c r="W192" s="4" t="str">
        <f>IF(OR(B192="Invalid Date",C192="Invalid Date"),"Invalid Date",IF(C192&lt;B192,"Invalid Shipping","OK"))</f>
        <v>Invalid Date</v>
      </c>
      <c r="X192">
        <f t="shared" si="16"/>
        <v>1</v>
      </c>
      <c r="Y192">
        <f t="shared" si="17"/>
        <v>0.1</v>
      </c>
      <c r="Z192">
        <f t="shared" si="18"/>
        <v>1458.2429999999999</v>
      </c>
      <c r="AA192">
        <f t="shared" si="19"/>
        <v>514.92299999999989</v>
      </c>
      <c r="AB192" s="6">
        <f t="shared" si="20"/>
        <v>0.35311192990468659</v>
      </c>
      <c r="AC192" t="str">
        <f t="shared" si="21"/>
        <v>April</v>
      </c>
      <c r="AD192">
        <f t="shared" si="22"/>
        <v>2025</v>
      </c>
      <c r="AE192" t="str">
        <f t="shared" si="23"/>
        <v>Invalid</v>
      </c>
    </row>
    <row r="193" spans="1:31">
      <c r="A193" t="s">
        <v>681</v>
      </c>
      <c r="B193" s="3">
        <v>45584</v>
      </c>
      <c r="C193" s="3">
        <v>45589</v>
      </c>
      <c r="D193" t="s">
        <v>682</v>
      </c>
      <c r="E193" t="s">
        <v>132</v>
      </c>
      <c r="F193" t="s">
        <v>37</v>
      </c>
      <c r="G193" t="s">
        <v>54</v>
      </c>
      <c r="H193" t="s">
        <v>247</v>
      </c>
      <c r="I193" t="s">
        <v>248</v>
      </c>
      <c r="J193" t="s">
        <v>41</v>
      </c>
      <c r="K193" t="s">
        <v>158</v>
      </c>
      <c r="L193" t="s">
        <v>683</v>
      </c>
      <c r="M193" t="s">
        <v>31</v>
      </c>
      <c r="N193">
        <v>6</v>
      </c>
      <c r="O193">
        <v>4308.3999999999996</v>
      </c>
      <c r="P193">
        <v>0.65</v>
      </c>
      <c r="Q193">
        <v>25850.400000000001</v>
      </c>
      <c r="R193">
        <v>19397.68</v>
      </c>
      <c r="S193">
        <v>6452.72</v>
      </c>
      <c r="T193" t="s">
        <v>32</v>
      </c>
      <c r="U193" t="s">
        <v>33</v>
      </c>
      <c r="V193">
        <f>IF(OR(B193="Invalid Date",C193="Invalid Date"),"Invalid Date",C193-B193)</f>
        <v>5</v>
      </c>
      <c r="W193" s="4" t="str">
        <f>IF(OR(B193="Invalid Date",C193="Invalid Date"),"Invalid Date",IF(C193&lt;B193,"Invalid Shipping","OK"))</f>
        <v>OK</v>
      </c>
      <c r="X193">
        <f t="shared" si="16"/>
        <v>1</v>
      </c>
      <c r="Y193">
        <f t="shared" si="17"/>
        <v>0.65</v>
      </c>
      <c r="Z193">
        <f t="shared" si="18"/>
        <v>9047.64</v>
      </c>
      <c r="AA193">
        <f t="shared" si="19"/>
        <v>-10350.040000000001</v>
      </c>
      <c r="AB193" s="6">
        <f t="shared" si="20"/>
        <v>-1.1439491403283069</v>
      </c>
      <c r="AC193" t="str">
        <f t="shared" si="21"/>
        <v>October</v>
      </c>
      <c r="AD193">
        <f t="shared" si="22"/>
        <v>2024</v>
      </c>
      <c r="AE193" t="str">
        <f t="shared" si="23"/>
        <v>Clean</v>
      </c>
    </row>
    <row r="194" spans="1:31">
      <c r="A194" t="s">
        <v>684</v>
      </c>
      <c r="B194" s="3">
        <v>45635</v>
      </c>
      <c r="C194" s="3" t="s">
        <v>2763</v>
      </c>
      <c r="D194" t="s">
        <v>685</v>
      </c>
      <c r="E194" t="s">
        <v>47</v>
      </c>
      <c r="F194" t="s">
        <v>95</v>
      </c>
      <c r="G194" t="s">
        <v>63</v>
      </c>
      <c r="H194" t="s">
        <v>180</v>
      </c>
      <c r="I194" t="s">
        <v>181</v>
      </c>
      <c r="J194" t="s">
        <v>41</v>
      </c>
      <c r="K194" t="s">
        <v>66</v>
      </c>
      <c r="L194" t="s">
        <v>686</v>
      </c>
      <c r="M194" t="s">
        <v>50</v>
      </c>
      <c r="N194">
        <v>4</v>
      </c>
      <c r="O194">
        <v>2191.0300000000002</v>
      </c>
      <c r="P194">
        <v>0</v>
      </c>
      <c r="Q194">
        <v>8764.1200000000008</v>
      </c>
      <c r="R194">
        <v>7220.05</v>
      </c>
      <c r="S194">
        <v>1544.07</v>
      </c>
      <c r="T194" t="s">
        <v>32</v>
      </c>
      <c r="U194" t="s">
        <v>33</v>
      </c>
      <c r="V194" t="str">
        <f>IF(OR(B194="Invalid Date",C194="Invalid Date"),"Invalid Date",C194-B194)</f>
        <v>Invalid Date</v>
      </c>
      <c r="W194" s="4" t="str">
        <f>IF(OR(B194="Invalid Date",C194="Invalid Date"),"Invalid Date",IF(C194&lt;B194,"Invalid Shipping","OK"))</f>
        <v>Invalid Date</v>
      </c>
      <c r="X194">
        <f t="shared" si="16"/>
        <v>1</v>
      </c>
      <c r="Y194">
        <f t="shared" si="17"/>
        <v>0</v>
      </c>
      <c r="Z194">
        <f t="shared" si="18"/>
        <v>8764.1200000000008</v>
      </c>
      <c r="AA194">
        <f t="shared" si="19"/>
        <v>1544.0700000000006</v>
      </c>
      <c r="AB194" s="6">
        <f t="shared" si="20"/>
        <v>0.17618083732308554</v>
      </c>
      <c r="AC194" t="str">
        <f t="shared" si="21"/>
        <v>December</v>
      </c>
      <c r="AD194">
        <f t="shared" si="22"/>
        <v>2024</v>
      </c>
      <c r="AE194" t="str">
        <f t="shared" si="23"/>
        <v>Invalid</v>
      </c>
    </row>
    <row r="195" spans="1:31">
      <c r="A195" t="s">
        <v>687</v>
      </c>
      <c r="B195" s="3">
        <v>45466</v>
      </c>
      <c r="C195" s="3">
        <v>45471</v>
      </c>
      <c r="D195" t="s">
        <v>688</v>
      </c>
      <c r="E195" t="s">
        <v>114</v>
      </c>
      <c r="F195" t="s">
        <v>37</v>
      </c>
      <c r="G195" t="s">
        <v>25</v>
      </c>
      <c r="H195" t="s">
        <v>122</v>
      </c>
      <c r="I195" t="s">
        <v>123</v>
      </c>
      <c r="J195" t="s">
        <v>74</v>
      </c>
      <c r="K195" t="s">
        <v>80</v>
      </c>
      <c r="L195" t="s">
        <v>689</v>
      </c>
      <c r="M195" t="s">
        <v>44</v>
      </c>
      <c r="N195">
        <v>6</v>
      </c>
      <c r="O195">
        <v>1956.63</v>
      </c>
      <c r="P195">
        <v>0.2</v>
      </c>
      <c r="Q195">
        <v>9391.82</v>
      </c>
      <c r="R195">
        <v>6013.22</v>
      </c>
      <c r="S195">
        <v>3378.6</v>
      </c>
      <c r="T195" t="s">
        <v>102</v>
      </c>
      <c r="U195" t="s">
        <v>103</v>
      </c>
      <c r="V195">
        <f>IF(OR(B195="Invalid Date",C195="Invalid Date"),"Invalid Date",C195-B195)</f>
        <v>5</v>
      </c>
      <c r="W195" s="4" t="str">
        <f>IF(OR(B195="Invalid Date",C195="Invalid Date"),"Invalid Date",IF(C195&lt;B195,"Invalid Shipping","OK"))</f>
        <v>OK</v>
      </c>
      <c r="X195">
        <f t="shared" ref="X195:X258" si="24">COUNTIF($A:$A,A195)</f>
        <v>1</v>
      </c>
      <c r="Y195">
        <f t="shared" ref="Y195:Y258" si="25">IF(P195="",0,IF(OR(P195&lt;0,P195&gt;1),"Invalid",P195))</f>
        <v>0.2</v>
      </c>
      <c r="Z195">
        <f t="shared" ref="Z195:Z258" si="26">IF(ISTEXT(Y195),"",N195*O195*(1-Y195))</f>
        <v>9391.8240000000005</v>
      </c>
      <c r="AA195">
        <f t="shared" ref="AA195:AA258" si="27">IF(Z195="","",Z195-R195)</f>
        <v>3378.6040000000003</v>
      </c>
      <c r="AB195" s="6">
        <f t="shared" ref="AB195:AB258" si="28">IF(OR(Z195="",Z195=0),"",AA195/Z195)</f>
        <v>0.35973885370935399</v>
      </c>
      <c r="AC195" t="str">
        <f t="shared" ref="AC195:AC258" si="29">IF(ISNUMBER(B195),TEXT(B195,"mmmm"),"")</f>
        <v>June</v>
      </c>
      <c r="AD195">
        <f t="shared" ref="AD195:AD258" si="30">IF(ISNUMBER(B195),YEAR(B195),"")</f>
        <v>2024</v>
      </c>
      <c r="AE195" t="str">
        <f t="shared" ref="AE195:AE258" si="31">IF(OR(B195="Invalid Date",C195="Invalid Date",W195="Invalid Date",W195="Invalid Shipping",Y195="Invalid"),"Invalid",IF(OR(G195="Unknown",M195="Unknown"),"Warning","Clean"))</f>
        <v>Clean</v>
      </c>
    </row>
    <row r="196" spans="1:31">
      <c r="A196" t="s">
        <v>690</v>
      </c>
      <c r="B196" s="3">
        <v>45685</v>
      </c>
      <c r="C196" s="3" t="s">
        <v>2763</v>
      </c>
      <c r="D196" t="s">
        <v>691</v>
      </c>
      <c r="E196" t="s">
        <v>114</v>
      </c>
      <c r="F196" t="s">
        <v>24</v>
      </c>
      <c r="G196" t="s">
        <v>63</v>
      </c>
      <c r="H196" t="s">
        <v>64</v>
      </c>
      <c r="I196" t="s">
        <v>65</v>
      </c>
      <c r="J196" t="s">
        <v>41</v>
      </c>
      <c r="K196" t="s">
        <v>57</v>
      </c>
      <c r="L196" t="s">
        <v>692</v>
      </c>
      <c r="M196" t="s">
        <v>50</v>
      </c>
      <c r="N196">
        <v>9</v>
      </c>
      <c r="O196">
        <v>858.39</v>
      </c>
      <c r="P196">
        <v>0.05</v>
      </c>
      <c r="Q196">
        <v>7339.23</v>
      </c>
      <c r="R196">
        <v>5434.12</v>
      </c>
      <c r="S196">
        <v>1905.11</v>
      </c>
      <c r="T196" t="s">
        <v>111</v>
      </c>
      <c r="U196" t="s">
        <v>103</v>
      </c>
      <c r="V196" t="str">
        <f>IF(OR(B196="Invalid Date",C196="Invalid Date"),"Invalid Date",C196-B196)</f>
        <v>Invalid Date</v>
      </c>
      <c r="W196" s="4" t="str">
        <f>IF(OR(B196="Invalid Date",C196="Invalid Date"),"Invalid Date",IF(C196&lt;B196,"Invalid Shipping","OK"))</f>
        <v>Invalid Date</v>
      </c>
      <c r="X196">
        <f t="shared" si="24"/>
        <v>1</v>
      </c>
      <c r="Y196">
        <f t="shared" si="25"/>
        <v>0.05</v>
      </c>
      <c r="Z196">
        <f t="shared" si="26"/>
        <v>7339.2344999999996</v>
      </c>
      <c r="AA196">
        <f t="shared" si="27"/>
        <v>1905.1144999999997</v>
      </c>
      <c r="AB196" s="6">
        <f t="shared" si="28"/>
        <v>0.25957945614082772</v>
      </c>
      <c r="AC196" t="str">
        <f t="shared" si="29"/>
        <v>January</v>
      </c>
      <c r="AD196">
        <f t="shared" si="30"/>
        <v>2025</v>
      </c>
      <c r="AE196" t="str">
        <f t="shared" si="31"/>
        <v>Invalid</v>
      </c>
    </row>
    <row r="197" spans="1:31">
      <c r="A197" t="s">
        <v>693</v>
      </c>
      <c r="B197" s="3">
        <v>45860</v>
      </c>
      <c r="C197" s="3" t="s">
        <v>2763</v>
      </c>
      <c r="D197" t="s">
        <v>694</v>
      </c>
      <c r="E197" t="s">
        <v>79</v>
      </c>
      <c r="F197" t="s">
        <v>95</v>
      </c>
      <c r="G197" t="s">
        <v>54</v>
      </c>
      <c r="H197" t="s">
        <v>84</v>
      </c>
      <c r="I197" t="s">
        <v>85</v>
      </c>
      <c r="J197" t="s">
        <v>41</v>
      </c>
      <c r="K197" t="s">
        <v>57</v>
      </c>
      <c r="L197" t="s">
        <v>695</v>
      </c>
      <c r="M197" t="s">
        <v>44</v>
      </c>
      <c r="N197">
        <v>5</v>
      </c>
      <c r="O197">
        <v>1922.83</v>
      </c>
      <c r="P197">
        <v>0</v>
      </c>
      <c r="Q197">
        <v>9614.15</v>
      </c>
      <c r="R197">
        <v>7576.84</v>
      </c>
      <c r="S197">
        <v>2037.31</v>
      </c>
      <c r="T197" t="s">
        <v>32</v>
      </c>
      <c r="U197" t="s">
        <v>33</v>
      </c>
      <c r="V197" t="str">
        <f>IF(OR(B197="Invalid Date",C197="Invalid Date"),"Invalid Date",C197-B197)</f>
        <v>Invalid Date</v>
      </c>
      <c r="W197" s="4" t="str">
        <f>IF(OR(B197="Invalid Date",C197="Invalid Date"),"Invalid Date",IF(C197&lt;B197,"Invalid Shipping","OK"))</f>
        <v>Invalid Date</v>
      </c>
      <c r="X197">
        <f t="shared" si="24"/>
        <v>1</v>
      </c>
      <c r="Y197">
        <f t="shared" si="25"/>
        <v>0</v>
      </c>
      <c r="Z197">
        <f t="shared" si="26"/>
        <v>9614.15</v>
      </c>
      <c r="AA197">
        <f t="shared" si="27"/>
        <v>2037.3099999999995</v>
      </c>
      <c r="AB197" s="6">
        <f t="shared" si="28"/>
        <v>0.21190744891644084</v>
      </c>
      <c r="AC197" t="str">
        <f t="shared" si="29"/>
        <v>July</v>
      </c>
      <c r="AD197">
        <f t="shared" si="30"/>
        <v>2025</v>
      </c>
      <c r="AE197" t="str">
        <f t="shared" si="31"/>
        <v>Invalid</v>
      </c>
    </row>
    <row r="198" spans="1:31">
      <c r="A198" t="s">
        <v>696</v>
      </c>
      <c r="B198" s="3">
        <v>45313</v>
      </c>
      <c r="C198" s="3">
        <v>45316</v>
      </c>
      <c r="D198" t="s">
        <v>697</v>
      </c>
      <c r="E198" t="s">
        <v>264</v>
      </c>
      <c r="F198" t="s">
        <v>95</v>
      </c>
      <c r="G198" t="s">
        <v>25</v>
      </c>
      <c r="H198" t="s">
        <v>136</v>
      </c>
      <c r="I198" t="s">
        <v>137</v>
      </c>
      <c r="J198" t="s">
        <v>28</v>
      </c>
      <c r="K198" t="s">
        <v>124</v>
      </c>
      <c r="L198" t="s">
        <v>698</v>
      </c>
      <c r="M198" t="s">
        <v>50</v>
      </c>
      <c r="N198">
        <v>3</v>
      </c>
      <c r="O198">
        <v>1212.03</v>
      </c>
      <c r="P198">
        <v>0.1</v>
      </c>
      <c r="Q198">
        <v>3272.48</v>
      </c>
      <c r="R198">
        <v>2517.44</v>
      </c>
      <c r="S198">
        <v>755.04</v>
      </c>
      <c r="T198" t="s">
        <v>32</v>
      </c>
      <c r="U198" t="s">
        <v>33</v>
      </c>
      <c r="V198">
        <f>IF(OR(B198="Invalid Date",C198="Invalid Date"),"Invalid Date",C198-B198)</f>
        <v>3</v>
      </c>
      <c r="W198" s="4" t="str">
        <f>IF(OR(B198="Invalid Date",C198="Invalid Date"),"Invalid Date",IF(C198&lt;B198,"Invalid Shipping","OK"))</f>
        <v>OK</v>
      </c>
      <c r="X198">
        <f t="shared" si="24"/>
        <v>1</v>
      </c>
      <c r="Y198">
        <f t="shared" si="25"/>
        <v>0.1</v>
      </c>
      <c r="Z198">
        <f t="shared" si="26"/>
        <v>3272.4810000000002</v>
      </c>
      <c r="AA198">
        <f t="shared" si="27"/>
        <v>755.04100000000017</v>
      </c>
      <c r="AB198" s="6">
        <f t="shared" si="28"/>
        <v>0.23072433422837293</v>
      </c>
      <c r="AC198" t="str">
        <f t="shared" si="29"/>
        <v>January</v>
      </c>
      <c r="AD198">
        <f t="shared" si="30"/>
        <v>2024</v>
      </c>
      <c r="AE198" t="str">
        <f t="shared" si="31"/>
        <v>Clean</v>
      </c>
    </row>
    <row r="199" spans="1:31">
      <c r="A199" t="s">
        <v>699</v>
      </c>
      <c r="B199" s="3">
        <v>45747</v>
      </c>
      <c r="C199" s="3">
        <v>45754</v>
      </c>
      <c r="D199" t="s">
        <v>390</v>
      </c>
      <c r="E199" t="s">
        <v>118</v>
      </c>
      <c r="F199" t="s">
        <v>37</v>
      </c>
      <c r="G199" t="s">
        <v>38</v>
      </c>
      <c r="H199" t="s">
        <v>145</v>
      </c>
      <c r="I199" t="s">
        <v>146</v>
      </c>
      <c r="J199" t="s">
        <v>28</v>
      </c>
      <c r="K199" t="s">
        <v>124</v>
      </c>
      <c r="L199" t="s">
        <v>700</v>
      </c>
      <c r="M199" t="s">
        <v>31</v>
      </c>
      <c r="N199">
        <v>5</v>
      </c>
      <c r="O199">
        <v>4096.4399999999996</v>
      </c>
      <c r="P199">
        <v>0.15</v>
      </c>
      <c r="Q199">
        <v>17409.87</v>
      </c>
      <c r="R199">
        <v>14076.25</v>
      </c>
      <c r="S199">
        <v>3333.62</v>
      </c>
      <c r="T199" t="s">
        <v>32</v>
      </c>
      <c r="U199" t="s">
        <v>33</v>
      </c>
      <c r="V199">
        <f>IF(OR(B199="Invalid Date",C199="Invalid Date"),"Invalid Date",C199-B199)</f>
        <v>7</v>
      </c>
      <c r="W199" s="4" t="str">
        <f>IF(OR(B199="Invalid Date",C199="Invalid Date"),"Invalid Date",IF(C199&lt;B199,"Invalid Shipping","OK"))</f>
        <v>OK</v>
      </c>
      <c r="X199">
        <f t="shared" si="24"/>
        <v>1</v>
      </c>
      <c r="Y199">
        <f t="shared" si="25"/>
        <v>0.15</v>
      </c>
      <c r="Z199">
        <f t="shared" si="26"/>
        <v>17409.869999999995</v>
      </c>
      <c r="AA199">
        <f t="shared" si="27"/>
        <v>3333.6199999999953</v>
      </c>
      <c r="AB199" s="6">
        <f t="shared" si="28"/>
        <v>0.19147874165631312</v>
      </c>
      <c r="AC199" t="str">
        <f t="shared" si="29"/>
        <v>March</v>
      </c>
      <c r="AD199">
        <f t="shared" si="30"/>
        <v>2025</v>
      </c>
      <c r="AE199" t="str">
        <f t="shared" si="31"/>
        <v>Clean</v>
      </c>
    </row>
    <row r="200" spans="1:31">
      <c r="A200" t="s">
        <v>701</v>
      </c>
      <c r="B200" s="3">
        <v>45448</v>
      </c>
      <c r="C200" s="3">
        <v>45449</v>
      </c>
      <c r="D200" t="s">
        <v>702</v>
      </c>
      <c r="E200" t="s">
        <v>132</v>
      </c>
      <c r="F200" t="s">
        <v>24</v>
      </c>
      <c r="G200" t="s">
        <v>63</v>
      </c>
      <c r="H200" t="s">
        <v>180</v>
      </c>
      <c r="I200" t="s">
        <v>181</v>
      </c>
      <c r="J200" t="s">
        <v>28</v>
      </c>
      <c r="K200" t="s">
        <v>48</v>
      </c>
      <c r="L200" t="s">
        <v>703</v>
      </c>
      <c r="M200" t="s">
        <v>31</v>
      </c>
      <c r="N200">
        <v>1</v>
      </c>
      <c r="O200">
        <v>1184.58</v>
      </c>
      <c r="P200">
        <v>0.05</v>
      </c>
      <c r="Q200">
        <v>1125.3499999999999</v>
      </c>
      <c r="R200">
        <v>676.97</v>
      </c>
      <c r="S200">
        <v>448.38</v>
      </c>
      <c r="T200" t="s">
        <v>155</v>
      </c>
      <c r="U200" t="s">
        <v>68</v>
      </c>
      <c r="V200">
        <f>IF(OR(B200="Invalid Date",C200="Invalid Date"),"Invalid Date",C200-B200)</f>
        <v>1</v>
      </c>
      <c r="W200" s="4" t="str">
        <f>IF(OR(B200="Invalid Date",C200="Invalid Date"),"Invalid Date",IF(C200&lt;B200,"Invalid Shipping","OK"))</f>
        <v>OK</v>
      </c>
      <c r="X200">
        <f t="shared" si="24"/>
        <v>1</v>
      </c>
      <c r="Y200">
        <f t="shared" si="25"/>
        <v>0.05</v>
      </c>
      <c r="Z200">
        <f t="shared" si="26"/>
        <v>1125.3509999999999</v>
      </c>
      <c r="AA200">
        <f t="shared" si="27"/>
        <v>448.38099999999986</v>
      </c>
      <c r="AB200" s="6">
        <f t="shared" si="28"/>
        <v>0.39843657667696558</v>
      </c>
      <c r="AC200" t="str">
        <f t="shared" si="29"/>
        <v>June</v>
      </c>
      <c r="AD200">
        <f t="shared" si="30"/>
        <v>2024</v>
      </c>
      <c r="AE200" t="str">
        <f t="shared" si="31"/>
        <v>Clean</v>
      </c>
    </row>
    <row r="201" spans="1:31">
      <c r="A201" t="s">
        <v>704</v>
      </c>
      <c r="B201" s="3">
        <v>45629</v>
      </c>
      <c r="C201" s="3">
        <v>45363</v>
      </c>
      <c r="D201" t="s">
        <v>705</v>
      </c>
      <c r="E201" t="s">
        <v>118</v>
      </c>
      <c r="F201" t="s">
        <v>95</v>
      </c>
      <c r="G201" t="s">
        <v>38</v>
      </c>
      <c r="H201" t="s">
        <v>145</v>
      </c>
      <c r="I201" t="s">
        <v>146</v>
      </c>
      <c r="J201" t="s">
        <v>74</v>
      </c>
      <c r="K201" t="s">
        <v>274</v>
      </c>
      <c r="L201" t="s">
        <v>706</v>
      </c>
      <c r="M201" t="s">
        <v>2767</v>
      </c>
      <c r="N201">
        <v>6</v>
      </c>
      <c r="O201">
        <v>2185.58</v>
      </c>
      <c r="P201">
        <v>0.25</v>
      </c>
      <c r="Q201">
        <v>9835.11</v>
      </c>
      <c r="R201">
        <v>5437.64</v>
      </c>
      <c r="S201">
        <v>4397.47</v>
      </c>
      <c r="T201" t="s">
        <v>32</v>
      </c>
      <c r="U201" t="s">
        <v>33</v>
      </c>
      <c r="V201">
        <f>IF(OR(B201="Invalid Date",C201="Invalid Date"),"Invalid Date",C201-B201)</f>
        <v>-266</v>
      </c>
      <c r="W201" s="4" t="str">
        <f>IF(OR(B201="Invalid Date",C201="Invalid Date"),"Invalid Date",IF(C201&lt;B201,"Invalid Shipping","OK"))</f>
        <v>Invalid Shipping</v>
      </c>
      <c r="X201">
        <f t="shared" si="24"/>
        <v>1</v>
      </c>
      <c r="Y201">
        <f t="shared" si="25"/>
        <v>0.25</v>
      </c>
      <c r="Z201">
        <f t="shared" si="26"/>
        <v>9835.11</v>
      </c>
      <c r="AA201">
        <f t="shared" si="27"/>
        <v>4397.47</v>
      </c>
      <c r="AB201" s="6">
        <f t="shared" si="28"/>
        <v>0.44711955433136996</v>
      </c>
      <c r="AC201" t="str">
        <f t="shared" si="29"/>
        <v>December</v>
      </c>
      <c r="AD201">
        <f t="shared" si="30"/>
        <v>2024</v>
      </c>
      <c r="AE201" t="str">
        <f t="shared" si="31"/>
        <v>Invalid</v>
      </c>
    </row>
    <row r="202" spans="1:31">
      <c r="A202" t="s">
        <v>707</v>
      </c>
      <c r="B202" s="3">
        <v>45835</v>
      </c>
      <c r="C202" s="3">
        <v>45843</v>
      </c>
      <c r="D202" t="s">
        <v>708</v>
      </c>
      <c r="E202" t="s">
        <v>114</v>
      </c>
      <c r="F202" t="s">
        <v>37</v>
      </c>
      <c r="G202" t="s">
        <v>25</v>
      </c>
      <c r="H202" t="s">
        <v>26</v>
      </c>
      <c r="I202" t="s">
        <v>27</v>
      </c>
      <c r="J202" t="s">
        <v>74</v>
      </c>
      <c r="K202" t="s">
        <v>80</v>
      </c>
      <c r="L202" t="s">
        <v>709</v>
      </c>
      <c r="M202" t="s">
        <v>50</v>
      </c>
      <c r="N202">
        <v>5</v>
      </c>
      <c r="O202">
        <v>2868.44</v>
      </c>
      <c r="P202">
        <v>0.1</v>
      </c>
      <c r="Q202">
        <v>12907.98</v>
      </c>
      <c r="R202">
        <v>9197.08</v>
      </c>
      <c r="S202">
        <v>3710.9</v>
      </c>
      <c r="T202" t="s">
        <v>111</v>
      </c>
      <c r="U202" t="s">
        <v>68</v>
      </c>
      <c r="V202">
        <f>IF(OR(B202="Invalid Date",C202="Invalid Date"),"Invalid Date",C202-B202)</f>
        <v>8</v>
      </c>
      <c r="W202" s="4" t="str">
        <f>IF(OR(B202="Invalid Date",C202="Invalid Date"),"Invalid Date",IF(C202&lt;B202,"Invalid Shipping","OK"))</f>
        <v>OK</v>
      </c>
      <c r="X202">
        <f t="shared" si="24"/>
        <v>1</v>
      </c>
      <c r="Y202">
        <f t="shared" si="25"/>
        <v>0.1</v>
      </c>
      <c r="Z202">
        <f t="shared" si="26"/>
        <v>12907.980000000001</v>
      </c>
      <c r="AA202">
        <f t="shared" si="27"/>
        <v>3710.9000000000015</v>
      </c>
      <c r="AB202" s="6">
        <f t="shared" si="28"/>
        <v>0.28748882474252369</v>
      </c>
      <c r="AC202" t="str">
        <f t="shared" si="29"/>
        <v>June</v>
      </c>
      <c r="AD202">
        <f t="shared" si="30"/>
        <v>2025</v>
      </c>
      <c r="AE202" t="str">
        <f t="shared" si="31"/>
        <v>Clean</v>
      </c>
    </row>
    <row r="203" spans="1:31">
      <c r="A203" t="s">
        <v>710</v>
      </c>
      <c r="B203" s="3">
        <v>45864</v>
      </c>
      <c r="C203" s="3">
        <v>45724</v>
      </c>
      <c r="D203" t="s">
        <v>711</v>
      </c>
      <c r="E203" t="s">
        <v>71</v>
      </c>
      <c r="F203" t="s">
        <v>24</v>
      </c>
      <c r="G203" t="s">
        <v>63</v>
      </c>
      <c r="H203" t="s">
        <v>72</v>
      </c>
      <c r="I203" t="s">
        <v>73</v>
      </c>
      <c r="J203" t="s">
        <v>28</v>
      </c>
      <c r="K203" t="s">
        <v>91</v>
      </c>
      <c r="L203" t="s">
        <v>712</v>
      </c>
      <c r="M203" t="s">
        <v>31</v>
      </c>
      <c r="N203">
        <v>2</v>
      </c>
      <c r="O203">
        <v>2503.5300000000002</v>
      </c>
      <c r="P203">
        <v>-0.16</v>
      </c>
      <c r="Q203">
        <v>4756.71</v>
      </c>
      <c r="R203">
        <v>2954.86</v>
      </c>
      <c r="S203">
        <v>1801.85</v>
      </c>
      <c r="T203" t="s">
        <v>102</v>
      </c>
      <c r="U203" t="s">
        <v>68</v>
      </c>
      <c r="V203">
        <f>IF(OR(B203="Invalid Date",C203="Invalid Date"),"Invalid Date",C203-B203)</f>
        <v>-140</v>
      </c>
      <c r="W203" s="4" t="str">
        <f>IF(OR(B203="Invalid Date",C203="Invalid Date"),"Invalid Date",IF(C203&lt;B203,"Invalid Shipping","OK"))</f>
        <v>Invalid Shipping</v>
      </c>
      <c r="X203">
        <f t="shared" si="24"/>
        <v>1</v>
      </c>
      <c r="Y203" t="str">
        <f t="shared" si="25"/>
        <v>Invalid</v>
      </c>
      <c r="Z203" t="str">
        <f t="shared" si="26"/>
        <v/>
      </c>
      <c r="AA203" t="str">
        <f t="shared" si="27"/>
        <v/>
      </c>
      <c r="AB203" s="6" t="str">
        <f t="shared" si="28"/>
        <v/>
      </c>
      <c r="AC203" t="str">
        <f t="shared" si="29"/>
        <v>July</v>
      </c>
      <c r="AD203">
        <f t="shared" si="30"/>
        <v>2025</v>
      </c>
      <c r="AE203" t="str">
        <f t="shared" si="31"/>
        <v>Invalid</v>
      </c>
    </row>
    <row r="204" spans="1:31">
      <c r="A204" t="s">
        <v>713</v>
      </c>
      <c r="B204" s="3">
        <v>45744</v>
      </c>
      <c r="C204" s="3">
        <v>45744</v>
      </c>
      <c r="D204" t="s">
        <v>714</v>
      </c>
      <c r="E204" t="s">
        <v>132</v>
      </c>
      <c r="F204" t="s">
        <v>90</v>
      </c>
      <c r="G204" t="s">
        <v>63</v>
      </c>
      <c r="H204" t="s">
        <v>190</v>
      </c>
      <c r="I204" t="s">
        <v>191</v>
      </c>
      <c r="J204" t="s">
        <v>74</v>
      </c>
      <c r="K204" t="s">
        <v>75</v>
      </c>
      <c r="L204" t="s">
        <v>715</v>
      </c>
      <c r="M204" t="s">
        <v>59</v>
      </c>
      <c r="N204">
        <v>8</v>
      </c>
      <c r="O204">
        <v>1740.94</v>
      </c>
      <c r="P204">
        <v>0.05</v>
      </c>
      <c r="Q204">
        <v>13231.14</v>
      </c>
      <c r="R204">
        <v>11290.06</v>
      </c>
      <c r="S204">
        <v>1941.08</v>
      </c>
      <c r="T204" t="s">
        <v>32</v>
      </c>
      <c r="U204" t="s">
        <v>33</v>
      </c>
      <c r="V204">
        <f>IF(OR(B204="Invalid Date",C204="Invalid Date"),"Invalid Date",C204-B204)</f>
        <v>0</v>
      </c>
      <c r="W204" s="4" t="str">
        <f>IF(OR(B204="Invalid Date",C204="Invalid Date"),"Invalid Date",IF(C204&lt;B204,"Invalid Shipping","OK"))</f>
        <v>OK</v>
      </c>
      <c r="X204">
        <f t="shared" si="24"/>
        <v>1</v>
      </c>
      <c r="Y204">
        <f t="shared" si="25"/>
        <v>0.05</v>
      </c>
      <c r="Z204">
        <f t="shared" si="26"/>
        <v>13231.144</v>
      </c>
      <c r="AA204">
        <f t="shared" si="27"/>
        <v>1941.0840000000007</v>
      </c>
      <c r="AB204" s="6">
        <f t="shared" si="28"/>
        <v>0.14670568168557463</v>
      </c>
      <c r="AC204" t="str">
        <f t="shared" si="29"/>
        <v>March</v>
      </c>
      <c r="AD204">
        <f t="shared" si="30"/>
        <v>2025</v>
      </c>
      <c r="AE204" t="str">
        <f t="shared" si="31"/>
        <v>Clean</v>
      </c>
    </row>
    <row r="205" spans="1:31">
      <c r="A205" t="s">
        <v>716</v>
      </c>
      <c r="B205" s="3">
        <v>45379</v>
      </c>
      <c r="C205" s="3">
        <v>45381</v>
      </c>
      <c r="D205" t="s">
        <v>717</v>
      </c>
      <c r="E205" t="s">
        <v>132</v>
      </c>
      <c r="F205" t="s">
        <v>90</v>
      </c>
      <c r="G205" t="s">
        <v>63</v>
      </c>
      <c r="H205" t="s">
        <v>26</v>
      </c>
      <c r="I205" t="s">
        <v>109</v>
      </c>
      <c r="J205" t="s">
        <v>74</v>
      </c>
      <c r="K205" t="s">
        <v>75</v>
      </c>
      <c r="L205" t="s">
        <v>718</v>
      </c>
      <c r="M205" t="s">
        <v>31</v>
      </c>
      <c r="N205">
        <v>1</v>
      </c>
      <c r="O205">
        <v>570.34</v>
      </c>
      <c r="P205">
        <v>0.15</v>
      </c>
      <c r="Q205">
        <v>484.79</v>
      </c>
      <c r="R205">
        <v>333.54</v>
      </c>
      <c r="S205">
        <v>151.25</v>
      </c>
      <c r="T205" t="s">
        <v>32</v>
      </c>
      <c r="U205" t="s">
        <v>33</v>
      </c>
      <c r="V205">
        <f>IF(OR(B205="Invalid Date",C205="Invalid Date"),"Invalid Date",C205-B205)</f>
        <v>2</v>
      </c>
      <c r="W205" s="4" t="str">
        <f>IF(OR(B205="Invalid Date",C205="Invalid Date"),"Invalid Date",IF(C205&lt;B205,"Invalid Shipping","OK"))</f>
        <v>OK</v>
      </c>
      <c r="X205">
        <f t="shared" si="24"/>
        <v>1</v>
      </c>
      <c r="Y205">
        <f t="shared" si="25"/>
        <v>0.15</v>
      </c>
      <c r="Z205">
        <f t="shared" si="26"/>
        <v>484.78899999999999</v>
      </c>
      <c r="AA205">
        <f t="shared" si="27"/>
        <v>151.24899999999997</v>
      </c>
      <c r="AB205" s="6">
        <f t="shared" si="28"/>
        <v>0.3119893396921134</v>
      </c>
      <c r="AC205" t="str">
        <f t="shared" si="29"/>
        <v>March</v>
      </c>
      <c r="AD205">
        <f t="shared" si="30"/>
        <v>2024</v>
      </c>
      <c r="AE205" t="str">
        <f t="shared" si="31"/>
        <v>Clean</v>
      </c>
    </row>
    <row r="206" spans="1:31">
      <c r="A206" t="s">
        <v>719</v>
      </c>
      <c r="B206" s="3">
        <v>45858</v>
      </c>
      <c r="C206" s="3">
        <v>45861</v>
      </c>
      <c r="D206" t="s">
        <v>720</v>
      </c>
      <c r="E206" t="s">
        <v>36</v>
      </c>
      <c r="F206" t="s">
        <v>95</v>
      </c>
      <c r="G206" t="s">
        <v>38</v>
      </c>
      <c r="H206" t="s">
        <v>99</v>
      </c>
      <c r="I206" t="s">
        <v>100</v>
      </c>
      <c r="J206" t="s">
        <v>41</v>
      </c>
      <c r="K206" t="s">
        <v>42</v>
      </c>
      <c r="L206" t="s">
        <v>721</v>
      </c>
      <c r="M206" t="s">
        <v>31</v>
      </c>
      <c r="N206">
        <v>4</v>
      </c>
      <c r="O206">
        <v>477.69</v>
      </c>
      <c r="P206">
        <v>0.15</v>
      </c>
      <c r="Q206">
        <v>1624.15</v>
      </c>
      <c r="R206">
        <v>1217.99</v>
      </c>
      <c r="S206">
        <v>406.16</v>
      </c>
      <c r="T206" t="s">
        <v>32</v>
      </c>
      <c r="U206" t="s">
        <v>33</v>
      </c>
      <c r="V206">
        <f>IF(OR(B206="Invalid Date",C206="Invalid Date"),"Invalid Date",C206-B206)</f>
        <v>3</v>
      </c>
      <c r="W206" s="4" t="str">
        <f>IF(OR(B206="Invalid Date",C206="Invalid Date"),"Invalid Date",IF(C206&lt;B206,"Invalid Shipping","OK"))</f>
        <v>OK</v>
      </c>
      <c r="X206">
        <f t="shared" si="24"/>
        <v>1</v>
      </c>
      <c r="Y206">
        <f t="shared" si="25"/>
        <v>0.15</v>
      </c>
      <c r="Z206">
        <f t="shared" si="26"/>
        <v>1624.146</v>
      </c>
      <c r="AA206">
        <f t="shared" si="27"/>
        <v>406.15599999999995</v>
      </c>
      <c r="AB206" s="6">
        <f t="shared" si="28"/>
        <v>0.25007357712914968</v>
      </c>
      <c r="AC206" t="str">
        <f t="shared" si="29"/>
        <v>July</v>
      </c>
      <c r="AD206">
        <f t="shared" si="30"/>
        <v>2025</v>
      </c>
      <c r="AE206" t="str">
        <f t="shared" si="31"/>
        <v>Clean</v>
      </c>
    </row>
    <row r="207" spans="1:31">
      <c r="A207" t="s">
        <v>722</v>
      </c>
      <c r="B207" s="3">
        <v>45768</v>
      </c>
      <c r="C207" s="3" t="s">
        <v>2763</v>
      </c>
      <c r="D207" t="s">
        <v>723</v>
      </c>
      <c r="E207" t="s">
        <v>62</v>
      </c>
      <c r="F207" t="s">
        <v>24</v>
      </c>
      <c r="G207" t="s">
        <v>63</v>
      </c>
      <c r="H207" t="s">
        <v>64</v>
      </c>
      <c r="I207" t="s">
        <v>65</v>
      </c>
      <c r="J207" t="s">
        <v>28</v>
      </c>
      <c r="K207" t="s">
        <v>91</v>
      </c>
      <c r="L207" t="s">
        <v>724</v>
      </c>
      <c r="M207" t="s">
        <v>44</v>
      </c>
      <c r="N207">
        <v>6</v>
      </c>
      <c r="O207">
        <v>873.59</v>
      </c>
      <c r="P207">
        <v>0.2</v>
      </c>
      <c r="Q207">
        <v>4193.2299999999996</v>
      </c>
      <c r="R207">
        <v>3329.99</v>
      </c>
      <c r="S207">
        <v>863.24</v>
      </c>
      <c r="T207" t="s">
        <v>32</v>
      </c>
      <c r="U207" t="s">
        <v>33</v>
      </c>
      <c r="V207" t="str">
        <f>IF(OR(B207="Invalid Date",C207="Invalid Date"),"Invalid Date",C207-B207)</f>
        <v>Invalid Date</v>
      </c>
      <c r="W207" s="4" t="str">
        <f>IF(OR(B207="Invalid Date",C207="Invalid Date"),"Invalid Date",IF(C207&lt;B207,"Invalid Shipping","OK"))</f>
        <v>Invalid Date</v>
      </c>
      <c r="X207">
        <f t="shared" si="24"/>
        <v>1</v>
      </c>
      <c r="Y207">
        <f t="shared" si="25"/>
        <v>0.2</v>
      </c>
      <c r="Z207">
        <f t="shared" si="26"/>
        <v>4193.232</v>
      </c>
      <c r="AA207">
        <f t="shared" si="27"/>
        <v>863.24200000000019</v>
      </c>
      <c r="AB207" s="6">
        <f t="shared" si="28"/>
        <v>0.2058655471483572</v>
      </c>
      <c r="AC207" t="str">
        <f t="shared" si="29"/>
        <v>April</v>
      </c>
      <c r="AD207">
        <f t="shared" si="30"/>
        <v>2025</v>
      </c>
      <c r="AE207" t="str">
        <f t="shared" si="31"/>
        <v>Invalid</v>
      </c>
    </row>
    <row r="208" spans="1:31">
      <c r="A208" t="s">
        <v>725</v>
      </c>
      <c r="B208" s="3" t="s">
        <v>2763</v>
      </c>
      <c r="C208" s="3">
        <v>45797</v>
      </c>
      <c r="D208" t="s">
        <v>726</v>
      </c>
      <c r="E208" t="s">
        <v>162</v>
      </c>
      <c r="F208" t="s">
        <v>37</v>
      </c>
      <c r="G208" t="s">
        <v>25</v>
      </c>
      <c r="H208" t="s">
        <v>136</v>
      </c>
      <c r="I208" t="s">
        <v>137</v>
      </c>
      <c r="J208" t="s">
        <v>41</v>
      </c>
      <c r="K208" t="s">
        <v>57</v>
      </c>
      <c r="L208" t="s">
        <v>727</v>
      </c>
      <c r="M208" t="s">
        <v>50</v>
      </c>
      <c r="N208">
        <v>2</v>
      </c>
      <c r="O208">
        <v>215.13</v>
      </c>
      <c r="P208">
        <v>0</v>
      </c>
      <c r="Q208">
        <v>430.26</v>
      </c>
      <c r="R208">
        <v>286.38</v>
      </c>
      <c r="S208">
        <v>143.88</v>
      </c>
      <c r="T208" t="s">
        <v>32</v>
      </c>
      <c r="U208" t="s">
        <v>33</v>
      </c>
      <c r="V208" t="str">
        <f>IF(OR(B208="Invalid Date",C208="Invalid Date"),"Invalid Date",C208-B208)</f>
        <v>Invalid Date</v>
      </c>
      <c r="W208" s="4" t="str">
        <f>IF(OR(B208="Invalid Date",C208="Invalid Date"),"Invalid Date",IF(C208&lt;B208,"Invalid Shipping","OK"))</f>
        <v>Invalid Date</v>
      </c>
      <c r="X208">
        <f t="shared" si="24"/>
        <v>1</v>
      </c>
      <c r="Y208">
        <f t="shared" si="25"/>
        <v>0</v>
      </c>
      <c r="Z208">
        <f t="shared" si="26"/>
        <v>430.26</v>
      </c>
      <c r="AA208">
        <f t="shared" si="27"/>
        <v>143.88</v>
      </c>
      <c r="AB208" s="6">
        <f t="shared" si="28"/>
        <v>0.33440245432994004</v>
      </c>
      <c r="AC208" t="str">
        <f t="shared" si="29"/>
        <v/>
      </c>
      <c r="AD208" t="str">
        <f t="shared" si="30"/>
        <v/>
      </c>
      <c r="AE208" t="str">
        <f t="shared" si="31"/>
        <v>Invalid</v>
      </c>
    </row>
    <row r="209" spans="1:31">
      <c r="A209" t="s">
        <v>728</v>
      </c>
      <c r="B209" s="3">
        <v>45483</v>
      </c>
      <c r="C209" s="3">
        <v>45489</v>
      </c>
      <c r="D209" t="s">
        <v>729</v>
      </c>
      <c r="E209" t="s">
        <v>128</v>
      </c>
      <c r="F209" t="s">
        <v>95</v>
      </c>
      <c r="G209" t="s">
        <v>63</v>
      </c>
      <c r="H209" t="s">
        <v>190</v>
      </c>
      <c r="I209" t="s">
        <v>191</v>
      </c>
      <c r="J209" t="s">
        <v>41</v>
      </c>
      <c r="K209" t="s">
        <v>158</v>
      </c>
      <c r="L209" t="s">
        <v>730</v>
      </c>
      <c r="M209" t="s">
        <v>31</v>
      </c>
      <c r="N209">
        <v>2</v>
      </c>
      <c r="O209">
        <v>1095.45</v>
      </c>
      <c r="P209">
        <v>0.2</v>
      </c>
      <c r="Q209">
        <v>1752.72</v>
      </c>
      <c r="R209">
        <v>996.41</v>
      </c>
      <c r="S209">
        <v>756.31</v>
      </c>
      <c r="T209" t="s">
        <v>32</v>
      </c>
      <c r="U209" t="s">
        <v>33</v>
      </c>
      <c r="V209">
        <f>IF(OR(B209="Invalid Date",C209="Invalid Date"),"Invalid Date",C209-B209)</f>
        <v>6</v>
      </c>
      <c r="W209" s="4" t="str">
        <f>IF(OR(B209="Invalid Date",C209="Invalid Date"),"Invalid Date",IF(C209&lt;B209,"Invalid Shipping","OK"))</f>
        <v>OK</v>
      </c>
      <c r="X209">
        <f t="shared" si="24"/>
        <v>1</v>
      </c>
      <c r="Y209">
        <f t="shared" si="25"/>
        <v>0.2</v>
      </c>
      <c r="Z209">
        <f t="shared" si="26"/>
        <v>1752.7200000000003</v>
      </c>
      <c r="AA209">
        <f t="shared" si="27"/>
        <v>756.31000000000029</v>
      </c>
      <c r="AB209" s="6">
        <f t="shared" si="28"/>
        <v>0.43150645853302305</v>
      </c>
      <c r="AC209" t="str">
        <f t="shared" si="29"/>
        <v>July</v>
      </c>
      <c r="AD209">
        <f t="shared" si="30"/>
        <v>2024</v>
      </c>
      <c r="AE209" t="str">
        <f t="shared" si="31"/>
        <v>Clean</v>
      </c>
    </row>
    <row r="210" spans="1:31">
      <c r="A210" t="s">
        <v>731</v>
      </c>
      <c r="B210" s="3" t="s">
        <v>2763</v>
      </c>
      <c r="C210" s="3">
        <v>45843</v>
      </c>
      <c r="D210" t="s">
        <v>732</v>
      </c>
      <c r="E210" t="s">
        <v>162</v>
      </c>
      <c r="F210" t="s">
        <v>24</v>
      </c>
      <c r="G210" t="s">
        <v>25</v>
      </c>
      <c r="H210" t="s">
        <v>122</v>
      </c>
      <c r="I210" t="s">
        <v>123</v>
      </c>
      <c r="J210" t="s">
        <v>41</v>
      </c>
      <c r="K210" t="s">
        <v>66</v>
      </c>
      <c r="L210" t="s">
        <v>733</v>
      </c>
      <c r="M210" t="s">
        <v>44</v>
      </c>
      <c r="N210">
        <v>1</v>
      </c>
      <c r="O210">
        <v>999.83</v>
      </c>
      <c r="P210">
        <v>0</v>
      </c>
      <c r="Q210">
        <v>999.83</v>
      </c>
      <c r="R210">
        <v>634.91</v>
      </c>
      <c r="S210">
        <v>364.92</v>
      </c>
      <c r="T210" t="s">
        <v>32</v>
      </c>
      <c r="U210" t="s">
        <v>33</v>
      </c>
      <c r="V210" t="str">
        <f>IF(OR(B210="Invalid Date",C210="Invalid Date"),"Invalid Date",C210-B210)</f>
        <v>Invalid Date</v>
      </c>
      <c r="W210" s="4" t="str">
        <f>IF(OR(B210="Invalid Date",C210="Invalid Date"),"Invalid Date",IF(C210&lt;B210,"Invalid Shipping","OK"))</f>
        <v>Invalid Date</v>
      </c>
      <c r="X210">
        <f t="shared" si="24"/>
        <v>1</v>
      </c>
      <c r="Y210">
        <f t="shared" si="25"/>
        <v>0</v>
      </c>
      <c r="Z210">
        <f t="shared" si="26"/>
        <v>999.83</v>
      </c>
      <c r="AA210">
        <f t="shared" si="27"/>
        <v>364.92000000000007</v>
      </c>
      <c r="AB210" s="6">
        <f t="shared" si="28"/>
        <v>0.3649820469479812</v>
      </c>
      <c r="AC210" t="str">
        <f t="shared" si="29"/>
        <v/>
      </c>
      <c r="AD210" t="str">
        <f t="shared" si="30"/>
        <v/>
      </c>
      <c r="AE210" t="str">
        <f t="shared" si="31"/>
        <v>Invalid</v>
      </c>
    </row>
    <row r="211" spans="1:31">
      <c r="A211" t="s">
        <v>734</v>
      </c>
      <c r="B211" s="3" t="s">
        <v>2763</v>
      </c>
      <c r="C211" s="3" t="s">
        <v>2763</v>
      </c>
      <c r="D211" t="s">
        <v>735</v>
      </c>
      <c r="E211" t="s">
        <v>141</v>
      </c>
      <c r="F211" t="s">
        <v>37</v>
      </c>
      <c r="G211" t="s">
        <v>54</v>
      </c>
      <c r="H211" t="s">
        <v>84</v>
      </c>
      <c r="I211" t="s">
        <v>85</v>
      </c>
      <c r="J211" t="s">
        <v>28</v>
      </c>
      <c r="K211" t="s">
        <v>29</v>
      </c>
      <c r="L211" t="s">
        <v>736</v>
      </c>
      <c r="M211" t="s">
        <v>50</v>
      </c>
      <c r="N211">
        <v>9</v>
      </c>
      <c r="O211">
        <v>864.98</v>
      </c>
      <c r="P211">
        <v>0.1</v>
      </c>
      <c r="Q211">
        <v>7006.34</v>
      </c>
      <c r="R211">
        <v>4640.88</v>
      </c>
      <c r="S211">
        <v>2365.46</v>
      </c>
      <c r="T211" t="s">
        <v>32</v>
      </c>
      <c r="U211" t="s">
        <v>33</v>
      </c>
      <c r="V211" t="str">
        <f>IF(OR(B211="Invalid Date",C211="Invalid Date"),"Invalid Date",C211-B211)</f>
        <v>Invalid Date</v>
      </c>
      <c r="W211" s="4" t="str">
        <f>IF(OR(B211="Invalid Date",C211="Invalid Date"),"Invalid Date",IF(C211&lt;B211,"Invalid Shipping","OK"))</f>
        <v>Invalid Date</v>
      </c>
      <c r="X211">
        <f t="shared" si="24"/>
        <v>1</v>
      </c>
      <c r="Y211">
        <f t="shared" si="25"/>
        <v>0.1</v>
      </c>
      <c r="Z211">
        <f t="shared" si="26"/>
        <v>7006.3379999999997</v>
      </c>
      <c r="AA211">
        <f t="shared" si="27"/>
        <v>2365.4579999999996</v>
      </c>
      <c r="AB211" s="6">
        <f t="shared" si="28"/>
        <v>0.33761688345609359</v>
      </c>
      <c r="AC211" t="str">
        <f t="shared" si="29"/>
        <v/>
      </c>
      <c r="AD211" t="str">
        <f t="shared" si="30"/>
        <v/>
      </c>
      <c r="AE211" t="str">
        <f t="shared" si="31"/>
        <v>Invalid</v>
      </c>
    </row>
    <row r="212" spans="1:31">
      <c r="A212" t="s">
        <v>737</v>
      </c>
      <c r="B212" s="3" t="s">
        <v>2763</v>
      </c>
      <c r="C212" s="3">
        <v>45369</v>
      </c>
      <c r="D212" t="s">
        <v>738</v>
      </c>
      <c r="E212" t="s">
        <v>264</v>
      </c>
      <c r="F212" t="s">
        <v>95</v>
      </c>
      <c r="G212" t="s">
        <v>54</v>
      </c>
      <c r="H212" t="s">
        <v>175</v>
      </c>
      <c r="I212" t="s">
        <v>176</v>
      </c>
      <c r="J212" t="s">
        <v>74</v>
      </c>
      <c r="K212" t="s">
        <v>274</v>
      </c>
      <c r="L212" t="s">
        <v>739</v>
      </c>
      <c r="M212" t="s">
        <v>31</v>
      </c>
      <c r="N212">
        <v>1</v>
      </c>
      <c r="O212">
        <v>4131.3599999999997</v>
      </c>
      <c r="P212">
        <v>0</v>
      </c>
      <c r="Q212">
        <v>4131.3599999999997</v>
      </c>
      <c r="R212">
        <v>2937.07</v>
      </c>
      <c r="S212">
        <v>1194.29</v>
      </c>
      <c r="T212" t="s">
        <v>155</v>
      </c>
      <c r="U212" t="s">
        <v>103</v>
      </c>
      <c r="V212" t="str">
        <f>IF(OR(B212="Invalid Date",C212="Invalid Date"),"Invalid Date",C212-B212)</f>
        <v>Invalid Date</v>
      </c>
      <c r="W212" s="4" t="str">
        <f>IF(OR(B212="Invalid Date",C212="Invalid Date"),"Invalid Date",IF(C212&lt;B212,"Invalid Shipping","OK"))</f>
        <v>Invalid Date</v>
      </c>
      <c r="X212">
        <f t="shared" si="24"/>
        <v>1</v>
      </c>
      <c r="Y212">
        <f t="shared" si="25"/>
        <v>0</v>
      </c>
      <c r="Z212">
        <f t="shared" si="26"/>
        <v>4131.3599999999997</v>
      </c>
      <c r="AA212">
        <f t="shared" si="27"/>
        <v>1194.2899999999995</v>
      </c>
      <c r="AB212" s="6">
        <f t="shared" si="28"/>
        <v>0.28907914100925591</v>
      </c>
      <c r="AC212" t="str">
        <f t="shared" si="29"/>
        <v/>
      </c>
      <c r="AD212" t="str">
        <f t="shared" si="30"/>
        <v/>
      </c>
      <c r="AE212" t="str">
        <f t="shared" si="31"/>
        <v>Invalid</v>
      </c>
    </row>
    <row r="213" spans="1:31">
      <c r="A213" t="s">
        <v>740</v>
      </c>
      <c r="B213" s="3" t="s">
        <v>2763</v>
      </c>
      <c r="C213" s="3" t="s">
        <v>2763</v>
      </c>
      <c r="D213" t="s">
        <v>741</v>
      </c>
      <c r="E213" t="s">
        <v>141</v>
      </c>
      <c r="F213" t="s">
        <v>90</v>
      </c>
      <c r="G213" t="s">
        <v>38</v>
      </c>
      <c r="H213" t="s">
        <v>99</v>
      </c>
      <c r="I213" t="s">
        <v>100</v>
      </c>
      <c r="J213" t="s">
        <v>74</v>
      </c>
      <c r="K213" t="s">
        <v>80</v>
      </c>
      <c r="L213" t="s">
        <v>742</v>
      </c>
      <c r="M213" t="s">
        <v>31</v>
      </c>
      <c r="N213">
        <v>8</v>
      </c>
      <c r="O213">
        <v>4221.95</v>
      </c>
      <c r="P213">
        <v>0.2</v>
      </c>
      <c r="Q213">
        <v>27020.48</v>
      </c>
      <c r="R213">
        <v>22885.24</v>
      </c>
      <c r="S213">
        <v>4135.24</v>
      </c>
      <c r="T213" t="s">
        <v>32</v>
      </c>
      <c r="U213" t="s">
        <v>33</v>
      </c>
      <c r="V213" t="str">
        <f>IF(OR(B213="Invalid Date",C213="Invalid Date"),"Invalid Date",C213-B213)</f>
        <v>Invalid Date</v>
      </c>
      <c r="W213" s="4" t="str">
        <f>IF(OR(B213="Invalid Date",C213="Invalid Date"),"Invalid Date",IF(C213&lt;B213,"Invalid Shipping","OK"))</f>
        <v>Invalid Date</v>
      </c>
      <c r="X213">
        <f t="shared" si="24"/>
        <v>1</v>
      </c>
      <c r="Y213">
        <f t="shared" si="25"/>
        <v>0.2</v>
      </c>
      <c r="Z213">
        <f t="shared" si="26"/>
        <v>27020.48</v>
      </c>
      <c r="AA213">
        <f t="shared" si="27"/>
        <v>4135.239999999998</v>
      </c>
      <c r="AB213" s="6">
        <f t="shared" si="28"/>
        <v>0.15304095264036752</v>
      </c>
      <c r="AC213" t="str">
        <f t="shared" si="29"/>
        <v/>
      </c>
      <c r="AD213" t="str">
        <f t="shared" si="30"/>
        <v/>
      </c>
      <c r="AE213" t="str">
        <f t="shared" si="31"/>
        <v>Invalid</v>
      </c>
    </row>
    <row r="214" spans="1:31">
      <c r="A214" t="s">
        <v>743</v>
      </c>
      <c r="B214" s="3" t="s">
        <v>2763</v>
      </c>
      <c r="C214" s="3">
        <v>45556</v>
      </c>
      <c r="D214" t="s">
        <v>744</v>
      </c>
      <c r="E214" t="s">
        <v>62</v>
      </c>
      <c r="F214" t="s">
        <v>37</v>
      </c>
      <c r="G214" t="s">
        <v>38</v>
      </c>
      <c r="H214" t="s">
        <v>39</v>
      </c>
      <c r="I214" t="s">
        <v>40</v>
      </c>
      <c r="J214" t="s">
        <v>74</v>
      </c>
      <c r="K214" t="s">
        <v>171</v>
      </c>
      <c r="L214" t="s">
        <v>745</v>
      </c>
      <c r="M214" t="s">
        <v>44</v>
      </c>
      <c r="N214">
        <v>2</v>
      </c>
      <c r="O214">
        <v>214.5</v>
      </c>
      <c r="P214">
        <v>0.15</v>
      </c>
      <c r="Q214">
        <v>364.65</v>
      </c>
      <c r="R214">
        <v>280.74</v>
      </c>
      <c r="S214">
        <v>83.91</v>
      </c>
      <c r="T214" t="s">
        <v>32</v>
      </c>
      <c r="U214" t="s">
        <v>33</v>
      </c>
      <c r="V214" t="str">
        <f>IF(OR(B214="Invalid Date",C214="Invalid Date"),"Invalid Date",C214-B214)</f>
        <v>Invalid Date</v>
      </c>
      <c r="W214" s="4" t="str">
        <f>IF(OR(B214="Invalid Date",C214="Invalid Date"),"Invalid Date",IF(C214&lt;B214,"Invalid Shipping","OK"))</f>
        <v>Invalid Date</v>
      </c>
      <c r="X214">
        <f t="shared" si="24"/>
        <v>1</v>
      </c>
      <c r="Y214">
        <f t="shared" si="25"/>
        <v>0.15</v>
      </c>
      <c r="Z214">
        <f t="shared" si="26"/>
        <v>364.65</v>
      </c>
      <c r="AA214">
        <f t="shared" si="27"/>
        <v>83.909999999999968</v>
      </c>
      <c r="AB214" s="6">
        <f t="shared" si="28"/>
        <v>0.23011106540518297</v>
      </c>
      <c r="AC214" t="str">
        <f t="shared" si="29"/>
        <v/>
      </c>
      <c r="AD214" t="str">
        <f t="shared" si="30"/>
        <v/>
      </c>
      <c r="AE214" t="str">
        <f t="shared" si="31"/>
        <v>Invalid</v>
      </c>
    </row>
    <row r="215" spans="1:31">
      <c r="A215" t="s">
        <v>746</v>
      </c>
      <c r="B215" s="3">
        <v>45427</v>
      </c>
      <c r="C215" s="3">
        <v>45433</v>
      </c>
      <c r="D215" t="s">
        <v>747</v>
      </c>
      <c r="E215" t="s">
        <v>47</v>
      </c>
      <c r="F215" t="s">
        <v>37</v>
      </c>
      <c r="G215" t="s">
        <v>38</v>
      </c>
      <c r="H215" t="s">
        <v>145</v>
      </c>
      <c r="I215" t="s">
        <v>146</v>
      </c>
      <c r="J215" t="s">
        <v>74</v>
      </c>
      <c r="K215" t="s">
        <v>75</v>
      </c>
      <c r="L215" t="s">
        <v>748</v>
      </c>
      <c r="M215" t="s">
        <v>31</v>
      </c>
      <c r="N215">
        <v>4</v>
      </c>
      <c r="O215">
        <v>4332.7299999999996</v>
      </c>
      <c r="P215">
        <v>0.2</v>
      </c>
      <c r="Q215">
        <v>13864.74</v>
      </c>
      <c r="R215">
        <v>11294.06</v>
      </c>
      <c r="S215">
        <v>2570.6799999999998</v>
      </c>
      <c r="T215" t="s">
        <v>32</v>
      </c>
      <c r="U215" t="s">
        <v>33</v>
      </c>
      <c r="V215">
        <f>IF(OR(B215="Invalid Date",C215="Invalid Date"),"Invalid Date",C215-B215)</f>
        <v>6</v>
      </c>
      <c r="W215" s="4" t="str">
        <f>IF(OR(B215="Invalid Date",C215="Invalid Date"),"Invalid Date",IF(C215&lt;B215,"Invalid Shipping","OK"))</f>
        <v>OK</v>
      </c>
      <c r="X215">
        <f t="shared" si="24"/>
        <v>1</v>
      </c>
      <c r="Y215">
        <f t="shared" si="25"/>
        <v>0.2</v>
      </c>
      <c r="Z215">
        <f t="shared" si="26"/>
        <v>13864.735999999999</v>
      </c>
      <c r="AA215">
        <f t="shared" si="27"/>
        <v>2570.6759999999995</v>
      </c>
      <c r="AB215" s="6">
        <f t="shared" si="28"/>
        <v>0.18541110339208763</v>
      </c>
      <c r="AC215" t="str">
        <f t="shared" si="29"/>
        <v>May</v>
      </c>
      <c r="AD215">
        <f t="shared" si="30"/>
        <v>2024</v>
      </c>
      <c r="AE215" t="str">
        <f t="shared" si="31"/>
        <v>Clean</v>
      </c>
    </row>
    <row r="216" spans="1:31">
      <c r="A216" t="s">
        <v>749</v>
      </c>
      <c r="B216" s="3">
        <v>45368</v>
      </c>
      <c r="C216" s="3">
        <v>45374</v>
      </c>
      <c r="D216" t="s">
        <v>750</v>
      </c>
      <c r="E216" t="s">
        <v>118</v>
      </c>
      <c r="F216" t="s">
        <v>24</v>
      </c>
      <c r="G216" t="s">
        <v>25</v>
      </c>
      <c r="H216" t="s">
        <v>236</v>
      </c>
      <c r="I216" t="s">
        <v>237</v>
      </c>
      <c r="J216" t="s">
        <v>74</v>
      </c>
      <c r="K216" t="s">
        <v>75</v>
      </c>
      <c r="L216" t="s">
        <v>751</v>
      </c>
      <c r="M216" t="s">
        <v>50</v>
      </c>
      <c r="N216">
        <v>3</v>
      </c>
      <c r="O216">
        <v>248.18</v>
      </c>
      <c r="P216">
        <v>0.05</v>
      </c>
      <c r="Q216">
        <v>707.31</v>
      </c>
      <c r="R216">
        <v>569</v>
      </c>
      <c r="S216">
        <v>138.31</v>
      </c>
      <c r="T216" t="s">
        <v>32</v>
      </c>
      <c r="U216" t="s">
        <v>33</v>
      </c>
      <c r="V216">
        <f>IF(OR(B216="Invalid Date",C216="Invalid Date"),"Invalid Date",C216-B216)</f>
        <v>6</v>
      </c>
      <c r="W216" s="4" t="str">
        <f>IF(OR(B216="Invalid Date",C216="Invalid Date"),"Invalid Date",IF(C216&lt;B216,"Invalid Shipping","OK"))</f>
        <v>OK</v>
      </c>
      <c r="X216">
        <f t="shared" si="24"/>
        <v>1</v>
      </c>
      <c r="Y216">
        <f t="shared" si="25"/>
        <v>0.05</v>
      </c>
      <c r="Z216">
        <f t="shared" si="26"/>
        <v>707.31299999999999</v>
      </c>
      <c r="AA216">
        <f t="shared" si="27"/>
        <v>138.31299999999999</v>
      </c>
      <c r="AB216" s="6">
        <f t="shared" si="28"/>
        <v>0.19554709159876885</v>
      </c>
      <c r="AC216" t="str">
        <f t="shared" si="29"/>
        <v>March</v>
      </c>
      <c r="AD216">
        <f t="shared" si="30"/>
        <v>2024</v>
      </c>
      <c r="AE216" t="str">
        <f t="shared" si="31"/>
        <v>Clean</v>
      </c>
    </row>
    <row r="217" spans="1:31">
      <c r="A217" t="s">
        <v>752</v>
      </c>
      <c r="B217" s="3">
        <v>45352</v>
      </c>
      <c r="C217" s="3">
        <v>45355</v>
      </c>
      <c r="D217" t="s">
        <v>753</v>
      </c>
      <c r="E217" t="s">
        <v>36</v>
      </c>
      <c r="F217" t="s">
        <v>24</v>
      </c>
      <c r="G217" t="s">
        <v>63</v>
      </c>
      <c r="H217" t="s">
        <v>72</v>
      </c>
      <c r="I217" t="s">
        <v>73</v>
      </c>
      <c r="J217" t="s">
        <v>28</v>
      </c>
      <c r="K217" t="s">
        <v>29</v>
      </c>
      <c r="L217" t="s">
        <v>754</v>
      </c>
      <c r="M217" t="s">
        <v>50</v>
      </c>
      <c r="N217">
        <v>8</v>
      </c>
      <c r="O217">
        <v>3202.4</v>
      </c>
      <c r="P217">
        <v>0.25</v>
      </c>
      <c r="Q217">
        <v>19214.400000000001</v>
      </c>
      <c r="R217">
        <v>10916.01</v>
      </c>
      <c r="S217">
        <v>8298.39</v>
      </c>
      <c r="T217" t="s">
        <v>32</v>
      </c>
      <c r="U217" t="s">
        <v>33</v>
      </c>
      <c r="V217">
        <f>IF(OR(B217="Invalid Date",C217="Invalid Date"),"Invalid Date",C217-B217)</f>
        <v>3</v>
      </c>
      <c r="W217" s="4" t="str">
        <f>IF(OR(B217="Invalid Date",C217="Invalid Date"),"Invalid Date",IF(C217&lt;B217,"Invalid Shipping","OK"))</f>
        <v>OK</v>
      </c>
      <c r="X217">
        <f t="shared" si="24"/>
        <v>1</v>
      </c>
      <c r="Y217">
        <f t="shared" si="25"/>
        <v>0.25</v>
      </c>
      <c r="Z217">
        <f t="shared" si="26"/>
        <v>19214.400000000001</v>
      </c>
      <c r="AA217">
        <f t="shared" si="27"/>
        <v>8298.3900000000012</v>
      </c>
      <c r="AB217" s="6">
        <f t="shared" si="28"/>
        <v>0.43188389957531853</v>
      </c>
      <c r="AC217" t="str">
        <f t="shared" si="29"/>
        <v>March</v>
      </c>
      <c r="AD217">
        <f t="shared" si="30"/>
        <v>2024</v>
      </c>
      <c r="AE217" t="str">
        <f t="shared" si="31"/>
        <v>Clean</v>
      </c>
    </row>
    <row r="218" spans="1:31">
      <c r="A218" t="s">
        <v>755</v>
      </c>
      <c r="B218" s="3">
        <v>45934</v>
      </c>
      <c r="C218" s="3">
        <v>45762</v>
      </c>
      <c r="D218" t="s">
        <v>756</v>
      </c>
      <c r="E218" t="s">
        <v>47</v>
      </c>
      <c r="F218" t="s">
        <v>24</v>
      </c>
      <c r="G218" t="s">
        <v>63</v>
      </c>
      <c r="H218" t="s">
        <v>180</v>
      </c>
      <c r="I218" t="s">
        <v>181</v>
      </c>
      <c r="J218" t="s">
        <v>41</v>
      </c>
      <c r="K218" t="s">
        <v>42</v>
      </c>
      <c r="L218" t="s">
        <v>757</v>
      </c>
      <c r="M218" t="s">
        <v>59</v>
      </c>
      <c r="N218">
        <v>8</v>
      </c>
      <c r="O218">
        <v>1839.87</v>
      </c>
      <c r="P218">
        <v>0.25</v>
      </c>
      <c r="Q218">
        <v>11039.22</v>
      </c>
      <c r="R218">
        <v>7642.91</v>
      </c>
      <c r="S218">
        <v>3396.31</v>
      </c>
      <c r="T218" t="s">
        <v>155</v>
      </c>
      <c r="U218" t="s">
        <v>103</v>
      </c>
      <c r="V218">
        <f>IF(OR(B218="Invalid Date",C218="Invalid Date"),"Invalid Date",C218-B218)</f>
        <v>-172</v>
      </c>
      <c r="W218" s="4" t="str">
        <f>IF(OR(B218="Invalid Date",C218="Invalid Date"),"Invalid Date",IF(C218&lt;B218,"Invalid Shipping","OK"))</f>
        <v>Invalid Shipping</v>
      </c>
      <c r="X218">
        <f t="shared" si="24"/>
        <v>1</v>
      </c>
      <c r="Y218">
        <f t="shared" si="25"/>
        <v>0.25</v>
      </c>
      <c r="Z218">
        <f t="shared" si="26"/>
        <v>11039.22</v>
      </c>
      <c r="AA218">
        <f t="shared" si="27"/>
        <v>3396.3099999999995</v>
      </c>
      <c r="AB218" s="6">
        <f t="shared" si="28"/>
        <v>0.30765851210502188</v>
      </c>
      <c r="AC218" t="str">
        <f t="shared" si="29"/>
        <v>October</v>
      </c>
      <c r="AD218">
        <f t="shared" si="30"/>
        <v>2025</v>
      </c>
      <c r="AE218" t="str">
        <f t="shared" si="31"/>
        <v>Invalid</v>
      </c>
    </row>
    <row r="219" spans="1:31">
      <c r="A219" t="s">
        <v>758</v>
      </c>
      <c r="B219" s="3">
        <v>45748</v>
      </c>
      <c r="C219" s="3">
        <v>45873</v>
      </c>
      <c r="D219" t="s">
        <v>759</v>
      </c>
      <c r="E219" t="s">
        <v>89</v>
      </c>
      <c r="F219" t="s">
        <v>24</v>
      </c>
      <c r="G219" t="s">
        <v>38</v>
      </c>
      <c r="H219" t="s">
        <v>39</v>
      </c>
      <c r="I219" t="s">
        <v>40</v>
      </c>
      <c r="J219" t="s">
        <v>41</v>
      </c>
      <c r="K219" t="s">
        <v>158</v>
      </c>
      <c r="L219" t="s">
        <v>760</v>
      </c>
      <c r="M219" t="s">
        <v>31</v>
      </c>
      <c r="N219">
        <v>5</v>
      </c>
      <c r="O219">
        <v>1021.28</v>
      </c>
      <c r="P219">
        <v>0.1</v>
      </c>
      <c r="Q219">
        <v>4595.76</v>
      </c>
      <c r="R219">
        <v>3396.8</v>
      </c>
      <c r="S219">
        <v>1198.96</v>
      </c>
      <c r="T219" t="s">
        <v>102</v>
      </c>
      <c r="U219" t="s">
        <v>68</v>
      </c>
      <c r="V219">
        <f>IF(OR(B219="Invalid Date",C219="Invalid Date"),"Invalid Date",C219-B219)</f>
        <v>125</v>
      </c>
      <c r="W219" s="4" t="str">
        <f>IF(OR(B219="Invalid Date",C219="Invalid Date"),"Invalid Date",IF(C219&lt;B219,"Invalid Shipping","OK"))</f>
        <v>OK</v>
      </c>
      <c r="X219">
        <f t="shared" si="24"/>
        <v>1</v>
      </c>
      <c r="Y219">
        <f t="shared" si="25"/>
        <v>0.1</v>
      </c>
      <c r="Z219">
        <f t="shared" si="26"/>
        <v>4595.76</v>
      </c>
      <c r="AA219">
        <f t="shared" si="27"/>
        <v>1198.96</v>
      </c>
      <c r="AB219" s="6">
        <f t="shared" si="28"/>
        <v>0.26088394520166414</v>
      </c>
      <c r="AC219" t="str">
        <f t="shared" si="29"/>
        <v>April</v>
      </c>
      <c r="AD219">
        <f t="shared" si="30"/>
        <v>2025</v>
      </c>
      <c r="AE219" t="str">
        <f t="shared" si="31"/>
        <v>Clean</v>
      </c>
    </row>
    <row r="220" spans="1:31">
      <c r="A220" t="s">
        <v>761</v>
      </c>
      <c r="B220" s="3">
        <v>45714</v>
      </c>
      <c r="C220" s="3">
        <v>45715</v>
      </c>
      <c r="D220" t="s">
        <v>762</v>
      </c>
      <c r="E220" t="s">
        <v>114</v>
      </c>
      <c r="F220" t="s">
        <v>90</v>
      </c>
      <c r="G220" t="s">
        <v>63</v>
      </c>
      <c r="H220" t="s">
        <v>180</v>
      </c>
      <c r="I220" t="s">
        <v>181</v>
      </c>
      <c r="J220" t="s">
        <v>41</v>
      </c>
      <c r="K220" t="s">
        <v>158</v>
      </c>
      <c r="L220" t="s">
        <v>763</v>
      </c>
      <c r="M220" t="s">
        <v>59</v>
      </c>
      <c r="N220">
        <v>5</v>
      </c>
      <c r="O220">
        <v>258.27999999999997</v>
      </c>
      <c r="P220">
        <v>0</v>
      </c>
      <c r="Q220">
        <v>1291.4000000000001</v>
      </c>
      <c r="R220">
        <v>756.93</v>
      </c>
      <c r="S220">
        <v>534.47</v>
      </c>
      <c r="T220" t="s">
        <v>32</v>
      </c>
      <c r="U220" t="s">
        <v>33</v>
      </c>
      <c r="V220">
        <f>IF(OR(B220="Invalid Date",C220="Invalid Date"),"Invalid Date",C220-B220)</f>
        <v>1</v>
      </c>
      <c r="W220" s="4" t="str">
        <f>IF(OR(B220="Invalid Date",C220="Invalid Date"),"Invalid Date",IF(C220&lt;B220,"Invalid Shipping","OK"))</f>
        <v>OK</v>
      </c>
      <c r="X220">
        <f t="shared" si="24"/>
        <v>1</v>
      </c>
      <c r="Y220">
        <f t="shared" si="25"/>
        <v>0</v>
      </c>
      <c r="Z220">
        <f t="shared" si="26"/>
        <v>1291.3999999999999</v>
      </c>
      <c r="AA220">
        <f t="shared" si="27"/>
        <v>534.46999999999991</v>
      </c>
      <c r="AB220" s="6">
        <f t="shared" si="28"/>
        <v>0.41386866966083319</v>
      </c>
      <c r="AC220" t="str">
        <f t="shared" si="29"/>
        <v>February</v>
      </c>
      <c r="AD220">
        <f t="shared" si="30"/>
        <v>2025</v>
      </c>
      <c r="AE220" t="str">
        <f t="shared" si="31"/>
        <v>Clean</v>
      </c>
    </row>
    <row r="221" spans="1:31">
      <c r="A221" t="s">
        <v>764</v>
      </c>
      <c r="B221" s="3">
        <v>45461</v>
      </c>
      <c r="C221" s="3" t="s">
        <v>2763</v>
      </c>
      <c r="D221" t="s">
        <v>765</v>
      </c>
      <c r="E221" t="s">
        <v>118</v>
      </c>
      <c r="F221" t="s">
        <v>24</v>
      </c>
      <c r="G221" t="s">
        <v>38</v>
      </c>
      <c r="H221" t="s">
        <v>145</v>
      </c>
      <c r="I221" t="s">
        <v>146</v>
      </c>
      <c r="J221" t="s">
        <v>74</v>
      </c>
      <c r="K221" t="s">
        <v>274</v>
      </c>
      <c r="L221" t="s">
        <v>766</v>
      </c>
      <c r="M221" t="s">
        <v>50</v>
      </c>
      <c r="N221">
        <v>2</v>
      </c>
      <c r="O221">
        <v>121.49</v>
      </c>
      <c r="P221" t="s">
        <v>767</v>
      </c>
      <c r="Q221">
        <v>242.98</v>
      </c>
      <c r="R221">
        <v>161.41999999999999</v>
      </c>
      <c r="S221">
        <v>81.56</v>
      </c>
      <c r="T221" t="s">
        <v>32</v>
      </c>
      <c r="U221" t="s">
        <v>33</v>
      </c>
      <c r="V221" t="str">
        <f>IF(OR(B221="Invalid Date",C221="Invalid Date"),"Invalid Date",C221-B221)</f>
        <v>Invalid Date</v>
      </c>
      <c r="W221" s="4" t="str">
        <f>IF(OR(B221="Invalid Date",C221="Invalid Date"),"Invalid Date",IF(C221&lt;B221,"Invalid Shipping","OK"))</f>
        <v>Invalid Date</v>
      </c>
      <c r="X221">
        <f t="shared" si="24"/>
        <v>1</v>
      </c>
      <c r="Y221" t="str">
        <f t="shared" si="25"/>
        <v>Invalid</v>
      </c>
      <c r="Z221" t="str">
        <f t="shared" si="26"/>
        <v/>
      </c>
      <c r="AA221" t="str">
        <f t="shared" si="27"/>
        <v/>
      </c>
      <c r="AB221" s="6" t="str">
        <f t="shared" si="28"/>
        <v/>
      </c>
      <c r="AC221" t="str">
        <f t="shared" si="29"/>
        <v>June</v>
      </c>
      <c r="AD221">
        <f t="shared" si="30"/>
        <v>2024</v>
      </c>
      <c r="AE221" t="str">
        <f t="shared" si="31"/>
        <v>Invalid</v>
      </c>
    </row>
    <row r="222" spans="1:31">
      <c r="A222" t="s">
        <v>768</v>
      </c>
      <c r="B222" s="3">
        <v>45360</v>
      </c>
      <c r="C222" s="3">
        <v>45360</v>
      </c>
      <c r="D222" t="s">
        <v>769</v>
      </c>
      <c r="E222" t="s">
        <v>132</v>
      </c>
      <c r="F222" t="s">
        <v>24</v>
      </c>
      <c r="G222" t="s">
        <v>54</v>
      </c>
      <c r="H222" t="s">
        <v>185</v>
      </c>
      <c r="I222" t="s">
        <v>186</v>
      </c>
      <c r="J222" t="s">
        <v>28</v>
      </c>
      <c r="K222" t="s">
        <v>124</v>
      </c>
      <c r="L222" t="s">
        <v>770</v>
      </c>
      <c r="M222" t="s">
        <v>50</v>
      </c>
      <c r="N222">
        <v>4</v>
      </c>
      <c r="O222">
        <v>2810.17</v>
      </c>
      <c r="P222">
        <v>0.15</v>
      </c>
      <c r="Q222">
        <v>9554.58</v>
      </c>
      <c r="R222">
        <v>6068.47</v>
      </c>
      <c r="S222">
        <v>3486.11</v>
      </c>
      <c r="T222" t="s">
        <v>102</v>
      </c>
      <c r="U222" t="s">
        <v>68</v>
      </c>
      <c r="V222">
        <f>IF(OR(B222="Invalid Date",C222="Invalid Date"),"Invalid Date",C222-B222)</f>
        <v>0</v>
      </c>
      <c r="W222" s="4" t="str">
        <f>IF(OR(B222="Invalid Date",C222="Invalid Date"),"Invalid Date",IF(C222&lt;B222,"Invalid Shipping","OK"))</f>
        <v>OK</v>
      </c>
      <c r="X222">
        <f t="shared" si="24"/>
        <v>1</v>
      </c>
      <c r="Y222">
        <f t="shared" si="25"/>
        <v>0.15</v>
      </c>
      <c r="Z222">
        <f t="shared" si="26"/>
        <v>9554.5779999999995</v>
      </c>
      <c r="AA222">
        <f t="shared" si="27"/>
        <v>3486.1079999999993</v>
      </c>
      <c r="AB222" s="6">
        <f t="shared" si="28"/>
        <v>0.36486258210462036</v>
      </c>
      <c r="AC222" t="str">
        <f t="shared" si="29"/>
        <v>March</v>
      </c>
      <c r="AD222">
        <f t="shared" si="30"/>
        <v>2024</v>
      </c>
      <c r="AE222" t="str">
        <f t="shared" si="31"/>
        <v>Clean</v>
      </c>
    </row>
    <row r="223" spans="1:31">
      <c r="A223" t="s">
        <v>771</v>
      </c>
      <c r="B223" s="3">
        <v>45669</v>
      </c>
      <c r="C223" s="3">
        <v>45672</v>
      </c>
      <c r="D223" t="s">
        <v>772</v>
      </c>
      <c r="E223" t="s">
        <v>36</v>
      </c>
      <c r="F223" t="s">
        <v>90</v>
      </c>
      <c r="G223" t="s">
        <v>54</v>
      </c>
      <c r="H223" t="s">
        <v>175</v>
      </c>
      <c r="I223" t="s">
        <v>176</v>
      </c>
      <c r="J223" t="s">
        <v>41</v>
      </c>
      <c r="K223" t="s">
        <v>66</v>
      </c>
      <c r="L223" t="s">
        <v>773</v>
      </c>
      <c r="M223" t="s">
        <v>44</v>
      </c>
      <c r="N223">
        <v>4</v>
      </c>
      <c r="O223">
        <v>1531.53</v>
      </c>
      <c r="P223">
        <v>0.2</v>
      </c>
      <c r="Q223">
        <v>4900.8999999999996</v>
      </c>
      <c r="R223">
        <v>3552.69</v>
      </c>
      <c r="S223">
        <v>1348.21</v>
      </c>
      <c r="T223" t="s">
        <v>32</v>
      </c>
      <c r="U223" t="s">
        <v>33</v>
      </c>
      <c r="V223">
        <f>IF(OR(B223="Invalid Date",C223="Invalid Date"),"Invalid Date",C223-B223)</f>
        <v>3</v>
      </c>
      <c r="W223" s="4" t="str">
        <f>IF(OR(B223="Invalid Date",C223="Invalid Date"),"Invalid Date",IF(C223&lt;B223,"Invalid Shipping","OK"))</f>
        <v>OK</v>
      </c>
      <c r="X223">
        <f t="shared" si="24"/>
        <v>1</v>
      </c>
      <c r="Y223">
        <f t="shared" si="25"/>
        <v>0.2</v>
      </c>
      <c r="Z223">
        <f t="shared" si="26"/>
        <v>4900.8959999999997</v>
      </c>
      <c r="AA223">
        <f t="shared" si="27"/>
        <v>1348.2059999999997</v>
      </c>
      <c r="AB223" s="6">
        <f t="shared" si="28"/>
        <v>0.27509377877024932</v>
      </c>
      <c r="AC223" t="str">
        <f t="shared" si="29"/>
        <v>January</v>
      </c>
      <c r="AD223">
        <f t="shared" si="30"/>
        <v>2025</v>
      </c>
      <c r="AE223" t="str">
        <f t="shared" si="31"/>
        <v>Clean</v>
      </c>
    </row>
    <row r="224" spans="1:31">
      <c r="A224" t="s">
        <v>774</v>
      </c>
      <c r="B224" s="3" t="s">
        <v>2763</v>
      </c>
      <c r="C224" s="3">
        <v>45779</v>
      </c>
      <c r="D224" t="s">
        <v>775</v>
      </c>
      <c r="E224" t="s">
        <v>71</v>
      </c>
      <c r="F224" t="s">
        <v>37</v>
      </c>
      <c r="G224" t="s">
        <v>63</v>
      </c>
      <c r="H224" t="s">
        <v>190</v>
      </c>
      <c r="I224" t="s">
        <v>191</v>
      </c>
      <c r="J224" t="s">
        <v>28</v>
      </c>
      <c r="K224" t="s">
        <v>124</v>
      </c>
      <c r="L224" t="s">
        <v>776</v>
      </c>
      <c r="M224" t="s">
        <v>50</v>
      </c>
      <c r="N224">
        <v>6</v>
      </c>
      <c r="O224">
        <v>4308.09</v>
      </c>
      <c r="P224">
        <v>0</v>
      </c>
      <c r="Q224">
        <v>25848.54</v>
      </c>
      <c r="R224">
        <v>17729.09</v>
      </c>
      <c r="S224">
        <v>8119.45</v>
      </c>
      <c r="T224" t="s">
        <v>32</v>
      </c>
      <c r="U224" t="s">
        <v>33</v>
      </c>
      <c r="V224" t="str">
        <f>IF(OR(B224="Invalid Date",C224="Invalid Date"),"Invalid Date",C224-B224)</f>
        <v>Invalid Date</v>
      </c>
      <c r="W224" s="4" t="str">
        <f>IF(OR(B224="Invalid Date",C224="Invalid Date"),"Invalid Date",IF(C224&lt;B224,"Invalid Shipping","OK"))</f>
        <v>Invalid Date</v>
      </c>
      <c r="X224">
        <f t="shared" si="24"/>
        <v>1</v>
      </c>
      <c r="Y224">
        <f t="shared" si="25"/>
        <v>0</v>
      </c>
      <c r="Z224">
        <f t="shared" si="26"/>
        <v>25848.54</v>
      </c>
      <c r="AA224">
        <f t="shared" si="27"/>
        <v>8119.4500000000007</v>
      </c>
      <c r="AB224" s="6">
        <f t="shared" si="28"/>
        <v>0.31411638723115504</v>
      </c>
      <c r="AC224" t="str">
        <f t="shared" si="29"/>
        <v/>
      </c>
      <c r="AD224" t="str">
        <f t="shared" si="30"/>
        <v/>
      </c>
      <c r="AE224" t="str">
        <f t="shared" si="31"/>
        <v>Invalid</v>
      </c>
    </row>
    <row r="225" spans="1:31">
      <c r="A225" t="s">
        <v>777</v>
      </c>
      <c r="B225" s="3">
        <v>45707</v>
      </c>
      <c r="C225" s="3" t="s">
        <v>2763</v>
      </c>
      <c r="D225" t="s">
        <v>778</v>
      </c>
      <c r="E225" t="s">
        <v>36</v>
      </c>
      <c r="F225" t="s">
        <v>90</v>
      </c>
      <c r="G225" t="s">
        <v>63</v>
      </c>
      <c r="H225" t="s">
        <v>64</v>
      </c>
      <c r="I225" t="s">
        <v>65</v>
      </c>
      <c r="J225" t="s">
        <v>41</v>
      </c>
      <c r="K225" t="s">
        <v>57</v>
      </c>
      <c r="L225" t="s">
        <v>779</v>
      </c>
      <c r="M225" t="s">
        <v>50</v>
      </c>
      <c r="N225">
        <v>3</v>
      </c>
      <c r="O225">
        <v>490.3</v>
      </c>
      <c r="P225">
        <v>0.2</v>
      </c>
      <c r="Q225">
        <v>1176.72</v>
      </c>
      <c r="R225">
        <v>654.33000000000004</v>
      </c>
      <c r="S225">
        <v>522.39</v>
      </c>
      <c r="T225" t="s">
        <v>111</v>
      </c>
      <c r="U225" t="s">
        <v>103</v>
      </c>
      <c r="V225" t="str">
        <f>IF(OR(B225="Invalid Date",C225="Invalid Date"),"Invalid Date",C225-B225)</f>
        <v>Invalid Date</v>
      </c>
      <c r="W225" s="4" t="str">
        <f>IF(OR(B225="Invalid Date",C225="Invalid Date"),"Invalid Date",IF(C225&lt;B225,"Invalid Shipping","OK"))</f>
        <v>Invalid Date</v>
      </c>
      <c r="X225">
        <f t="shared" si="24"/>
        <v>1</v>
      </c>
      <c r="Y225">
        <f t="shared" si="25"/>
        <v>0.2</v>
      </c>
      <c r="Z225">
        <f t="shared" si="26"/>
        <v>1176.72</v>
      </c>
      <c r="AA225">
        <f t="shared" si="27"/>
        <v>522.39</v>
      </c>
      <c r="AB225" s="6">
        <f t="shared" si="28"/>
        <v>0.44393738527432181</v>
      </c>
      <c r="AC225" t="str">
        <f t="shared" si="29"/>
        <v>February</v>
      </c>
      <c r="AD225">
        <f t="shared" si="30"/>
        <v>2025</v>
      </c>
      <c r="AE225" t="str">
        <f t="shared" si="31"/>
        <v>Invalid</v>
      </c>
    </row>
    <row r="226" spans="1:31">
      <c r="A226" t="s">
        <v>780</v>
      </c>
      <c r="B226" s="3">
        <v>45698</v>
      </c>
      <c r="C226" s="3">
        <v>45938</v>
      </c>
      <c r="D226" t="s">
        <v>781</v>
      </c>
      <c r="E226" t="s">
        <v>47</v>
      </c>
      <c r="F226" t="s">
        <v>37</v>
      </c>
      <c r="G226" t="s">
        <v>25</v>
      </c>
      <c r="H226" t="s">
        <v>122</v>
      </c>
      <c r="I226" t="s">
        <v>123</v>
      </c>
      <c r="J226" t="s">
        <v>41</v>
      </c>
      <c r="K226" t="s">
        <v>57</v>
      </c>
      <c r="L226" t="s">
        <v>782</v>
      </c>
      <c r="M226" t="s">
        <v>59</v>
      </c>
      <c r="N226">
        <v>4</v>
      </c>
      <c r="O226">
        <v>3944.64</v>
      </c>
      <c r="P226">
        <v>0.25</v>
      </c>
      <c r="Q226">
        <v>11833.92</v>
      </c>
      <c r="R226">
        <v>6682.92</v>
      </c>
      <c r="S226">
        <v>5151</v>
      </c>
      <c r="T226" t="s">
        <v>32</v>
      </c>
      <c r="U226" t="s">
        <v>68</v>
      </c>
      <c r="V226">
        <f>IF(OR(B226="Invalid Date",C226="Invalid Date"),"Invalid Date",C226-B226)</f>
        <v>240</v>
      </c>
      <c r="W226" s="4" t="str">
        <f>IF(OR(B226="Invalid Date",C226="Invalid Date"),"Invalid Date",IF(C226&lt;B226,"Invalid Shipping","OK"))</f>
        <v>OK</v>
      </c>
      <c r="X226">
        <f t="shared" si="24"/>
        <v>2</v>
      </c>
      <c r="Y226">
        <f t="shared" si="25"/>
        <v>0.25</v>
      </c>
      <c r="Z226">
        <f t="shared" si="26"/>
        <v>11833.92</v>
      </c>
      <c r="AA226">
        <f t="shared" si="27"/>
        <v>5151</v>
      </c>
      <c r="AB226" s="6">
        <f t="shared" si="28"/>
        <v>0.43527419485681834</v>
      </c>
      <c r="AC226" t="str">
        <f t="shared" si="29"/>
        <v>February</v>
      </c>
      <c r="AD226">
        <f t="shared" si="30"/>
        <v>2025</v>
      </c>
      <c r="AE226" t="str">
        <f t="shared" si="31"/>
        <v>Clean</v>
      </c>
    </row>
    <row r="227" spans="1:31">
      <c r="A227" t="s">
        <v>783</v>
      </c>
      <c r="B227" s="3">
        <v>45537</v>
      </c>
      <c r="C227" s="3">
        <v>45545</v>
      </c>
      <c r="D227" t="s">
        <v>784</v>
      </c>
      <c r="E227" t="s">
        <v>36</v>
      </c>
      <c r="F227" t="s">
        <v>90</v>
      </c>
      <c r="G227" t="s">
        <v>63</v>
      </c>
      <c r="H227" t="s">
        <v>190</v>
      </c>
      <c r="I227" t="s">
        <v>191</v>
      </c>
      <c r="J227" t="s">
        <v>74</v>
      </c>
      <c r="K227" t="s">
        <v>171</v>
      </c>
      <c r="L227" t="s">
        <v>785</v>
      </c>
      <c r="M227" t="s">
        <v>59</v>
      </c>
      <c r="N227">
        <v>6</v>
      </c>
      <c r="O227">
        <v>1032.47</v>
      </c>
      <c r="P227">
        <v>0.15</v>
      </c>
      <c r="Q227">
        <v>5265.6</v>
      </c>
      <c r="R227">
        <v>4293.1099999999997</v>
      </c>
      <c r="S227">
        <v>787.57</v>
      </c>
      <c r="T227" t="s">
        <v>32</v>
      </c>
      <c r="U227" t="s">
        <v>33</v>
      </c>
      <c r="V227">
        <f>IF(OR(B227="Invalid Date",C227="Invalid Date"),"Invalid Date",C227-B227)</f>
        <v>8</v>
      </c>
      <c r="W227" s="4" t="str">
        <f>IF(OR(B227="Invalid Date",C227="Invalid Date"),"Invalid Date",IF(C227&lt;B227,"Invalid Shipping","OK"))</f>
        <v>OK</v>
      </c>
      <c r="X227">
        <f t="shared" si="24"/>
        <v>1</v>
      </c>
      <c r="Y227">
        <f t="shared" si="25"/>
        <v>0.15</v>
      </c>
      <c r="Z227">
        <f t="shared" si="26"/>
        <v>5265.5969999999998</v>
      </c>
      <c r="AA227">
        <f t="shared" si="27"/>
        <v>972.48700000000008</v>
      </c>
      <c r="AB227" s="6">
        <f t="shared" si="28"/>
        <v>0.18468694053114967</v>
      </c>
      <c r="AC227" t="str">
        <f t="shared" si="29"/>
        <v>September</v>
      </c>
      <c r="AD227">
        <f t="shared" si="30"/>
        <v>2024</v>
      </c>
      <c r="AE227" t="str">
        <f t="shared" si="31"/>
        <v>Clean</v>
      </c>
    </row>
    <row r="228" spans="1:31">
      <c r="A228" t="s">
        <v>786</v>
      </c>
      <c r="B228" s="3">
        <v>45757</v>
      </c>
      <c r="C228" s="3">
        <v>45762</v>
      </c>
      <c r="D228" t="s">
        <v>787</v>
      </c>
      <c r="E228" t="s">
        <v>162</v>
      </c>
      <c r="F228" t="s">
        <v>95</v>
      </c>
      <c r="G228" t="s">
        <v>2767</v>
      </c>
      <c r="H228" t="s">
        <v>185</v>
      </c>
      <c r="I228" t="s">
        <v>186</v>
      </c>
      <c r="J228" t="s">
        <v>74</v>
      </c>
      <c r="K228" t="s">
        <v>80</v>
      </c>
      <c r="L228" t="s">
        <v>788</v>
      </c>
      <c r="M228" t="s">
        <v>44</v>
      </c>
      <c r="N228">
        <v>1</v>
      </c>
      <c r="O228">
        <v>2208.27</v>
      </c>
      <c r="P228">
        <v>0.1</v>
      </c>
      <c r="Q228">
        <v>1987.44</v>
      </c>
      <c r="R228">
        <v>1110.23</v>
      </c>
      <c r="S228">
        <v>877.21</v>
      </c>
      <c r="T228" t="s">
        <v>32</v>
      </c>
      <c r="U228" t="s">
        <v>33</v>
      </c>
      <c r="V228">
        <f>IF(OR(B228="Invalid Date",C228="Invalid Date"),"Invalid Date",C228-B228)</f>
        <v>5</v>
      </c>
      <c r="W228" s="4" t="str">
        <f>IF(OR(B228="Invalid Date",C228="Invalid Date"),"Invalid Date",IF(C228&lt;B228,"Invalid Shipping","OK"))</f>
        <v>OK</v>
      </c>
      <c r="X228">
        <f t="shared" si="24"/>
        <v>1</v>
      </c>
      <c r="Y228">
        <f t="shared" si="25"/>
        <v>0.1</v>
      </c>
      <c r="Z228">
        <f t="shared" si="26"/>
        <v>1987.443</v>
      </c>
      <c r="AA228">
        <f t="shared" si="27"/>
        <v>877.21299999999997</v>
      </c>
      <c r="AB228" s="6">
        <f t="shared" si="28"/>
        <v>0.44137768982556985</v>
      </c>
      <c r="AC228" t="str">
        <f t="shared" si="29"/>
        <v>April</v>
      </c>
      <c r="AD228">
        <f t="shared" si="30"/>
        <v>2025</v>
      </c>
      <c r="AE228" t="str">
        <f t="shared" si="31"/>
        <v>Warning</v>
      </c>
    </row>
    <row r="229" spans="1:31">
      <c r="A229" t="s">
        <v>789</v>
      </c>
      <c r="B229" s="3">
        <v>45478</v>
      </c>
      <c r="C229" s="3">
        <v>45485</v>
      </c>
      <c r="D229" t="s">
        <v>790</v>
      </c>
      <c r="E229" t="s">
        <v>62</v>
      </c>
      <c r="F229" t="s">
        <v>37</v>
      </c>
      <c r="G229" t="s">
        <v>63</v>
      </c>
      <c r="H229" t="s">
        <v>190</v>
      </c>
      <c r="I229" t="s">
        <v>191</v>
      </c>
      <c r="J229" t="s">
        <v>28</v>
      </c>
      <c r="K229" t="s">
        <v>153</v>
      </c>
      <c r="L229" t="s">
        <v>791</v>
      </c>
      <c r="M229" t="s">
        <v>50</v>
      </c>
      <c r="N229">
        <v>3</v>
      </c>
      <c r="O229">
        <v>577.75</v>
      </c>
      <c r="P229">
        <v>0.15</v>
      </c>
      <c r="Q229">
        <v>1473.26</v>
      </c>
      <c r="R229">
        <v>899.86</v>
      </c>
      <c r="S229">
        <v>573.4</v>
      </c>
      <c r="T229" t="s">
        <v>32</v>
      </c>
      <c r="U229" t="s">
        <v>33</v>
      </c>
      <c r="V229">
        <f>IF(OR(B229="Invalid Date",C229="Invalid Date"),"Invalid Date",C229-B229)</f>
        <v>7</v>
      </c>
      <c r="W229" s="4" t="str">
        <f>IF(OR(B229="Invalid Date",C229="Invalid Date"),"Invalid Date",IF(C229&lt;B229,"Invalid Shipping","OK"))</f>
        <v>OK</v>
      </c>
      <c r="X229">
        <f t="shared" si="24"/>
        <v>1</v>
      </c>
      <c r="Y229">
        <f t="shared" si="25"/>
        <v>0.15</v>
      </c>
      <c r="Z229">
        <f t="shared" si="26"/>
        <v>1473.2625</v>
      </c>
      <c r="AA229">
        <f t="shared" si="27"/>
        <v>573.40250000000003</v>
      </c>
      <c r="AB229" s="6">
        <f t="shared" si="28"/>
        <v>0.38920592901808065</v>
      </c>
      <c r="AC229" t="str">
        <f t="shared" si="29"/>
        <v>July</v>
      </c>
      <c r="AD229">
        <f t="shared" si="30"/>
        <v>2024</v>
      </c>
      <c r="AE229" t="str">
        <f t="shared" si="31"/>
        <v>Clean</v>
      </c>
    </row>
    <row r="230" spans="1:31">
      <c r="A230" t="s">
        <v>792</v>
      </c>
      <c r="B230" s="3">
        <v>45406</v>
      </c>
      <c r="C230" s="3">
        <v>45410</v>
      </c>
      <c r="D230" t="s">
        <v>793</v>
      </c>
      <c r="E230" t="s">
        <v>23</v>
      </c>
      <c r="F230" t="s">
        <v>37</v>
      </c>
      <c r="G230" t="s">
        <v>54</v>
      </c>
      <c r="H230" t="s">
        <v>55</v>
      </c>
      <c r="I230" t="s">
        <v>56</v>
      </c>
      <c r="J230" t="s">
        <v>28</v>
      </c>
      <c r="K230" t="s">
        <v>91</v>
      </c>
      <c r="L230" t="s">
        <v>794</v>
      </c>
      <c r="M230" t="s">
        <v>31</v>
      </c>
      <c r="N230">
        <v>1</v>
      </c>
      <c r="O230">
        <v>3194.37</v>
      </c>
      <c r="P230">
        <v>0.15</v>
      </c>
      <c r="Q230">
        <v>2715.21</v>
      </c>
      <c r="R230">
        <v>1551.55</v>
      </c>
      <c r="S230">
        <v>1163.6600000000001</v>
      </c>
      <c r="T230" t="s">
        <v>32</v>
      </c>
      <c r="U230" t="s">
        <v>33</v>
      </c>
      <c r="V230">
        <f>IF(OR(B230="Invalid Date",C230="Invalid Date"),"Invalid Date",C230-B230)</f>
        <v>4</v>
      </c>
      <c r="W230" s="4" t="str">
        <f>IF(OR(B230="Invalid Date",C230="Invalid Date"),"Invalid Date",IF(C230&lt;B230,"Invalid Shipping","OK"))</f>
        <v>OK</v>
      </c>
      <c r="X230">
        <f t="shared" si="24"/>
        <v>1</v>
      </c>
      <c r="Y230">
        <f t="shared" si="25"/>
        <v>0.15</v>
      </c>
      <c r="Z230">
        <f t="shared" si="26"/>
        <v>2715.2145</v>
      </c>
      <c r="AA230">
        <f t="shared" si="27"/>
        <v>1163.6645000000001</v>
      </c>
      <c r="AB230" s="6">
        <f t="shared" si="28"/>
        <v>0.42857184948003191</v>
      </c>
      <c r="AC230" t="str">
        <f t="shared" si="29"/>
        <v>April</v>
      </c>
      <c r="AD230">
        <f t="shared" si="30"/>
        <v>2024</v>
      </c>
      <c r="AE230" t="str">
        <f t="shared" si="31"/>
        <v>Clean</v>
      </c>
    </row>
    <row r="231" spans="1:31">
      <c r="A231" t="s">
        <v>795</v>
      </c>
      <c r="B231" s="3">
        <v>45836</v>
      </c>
      <c r="C231" s="3">
        <v>45754</v>
      </c>
      <c r="D231" t="s">
        <v>796</v>
      </c>
      <c r="E231" t="s">
        <v>141</v>
      </c>
      <c r="F231" t="s">
        <v>24</v>
      </c>
      <c r="G231" t="s">
        <v>54</v>
      </c>
      <c r="H231" t="s">
        <v>55</v>
      </c>
      <c r="I231" t="s">
        <v>56</v>
      </c>
      <c r="J231" t="s">
        <v>41</v>
      </c>
      <c r="K231" t="s">
        <v>158</v>
      </c>
      <c r="L231" t="s">
        <v>797</v>
      </c>
      <c r="M231" t="s">
        <v>50</v>
      </c>
      <c r="N231">
        <v>3</v>
      </c>
      <c r="O231">
        <v>2886.23</v>
      </c>
      <c r="P231">
        <v>0</v>
      </c>
      <c r="Q231">
        <v>8658.69</v>
      </c>
      <c r="R231">
        <v>5535.94</v>
      </c>
      <c r="S231">
        <v>3122.75</v>
      </c>
      <c r="T231" t="s">
        <v>102</v>
      </c>
      <c r="U231" t="s">
        <v>103</v>
      </c>
      <c r="V231">
        <f>IF(OR(B231="Invalid Date",C231="Invalid Date"),"Invalid Date",C231-B231)</f>
        <v>-82</v>
      </c>
      <c r="W231" s="4" t="str">
        <f>IF(OR(B231="Invalid Date",C231="Invalid Date"),"Invalid Date",IF(C231&lt;B231,"Invalid Shipping","OK"))</f>
        <v>Invalid Shipping</v>
      </c>
      <c r="X231">
        <f t="shared" si="24"/>
        <v>1</v>
      </c>
      <c r="Y231">
        <f t="shared" si="25"/>
        <v>0</v>
      </c>
      <c r="Z231">
        <f t="shared" si="26"/>
        <v>8658.69</v>
      </c>
      <c r="AA231">
        <f t="shared" si="27"/>
        <v>3122.7500000000009</v>
      </c>
      <c r="AB231" s="6">
        <f t="shared" si="28"/>
        <v>0.36064924370776652</v>
      </c>
      <c r="AC231" t="str">
        <f t="shared" si="29"/>
        <v>June</v>
      </c>
      <c r="AD231">
        <f t="shared" si="30"/>
        <v>2025</v>
      </c>
      <c r="AE231" t="str">
        <f t="shared" si="31"/>
        <v>Invalid</v>
      </c>
    </row>
    <row r="232" spans="1:31">
      <c r="A232" t="s">
        <v>798</v>
      </c>
      <c r="B232" s="3">
        <v>45440</v>
      </c>
      <c r="C232" s="3">
        <v>45446</v>
      </c>
      <c r="D232" t="s">
        <v>799</v>
      </c>
      <c r="E232" t="s">
        <v>79</v>
      </c>
      <c r="F232" t="s">
        <v>37</v>
      </c>
      <c r="G232" t="s">
        <v>25</v>
      </c>
      <c r="H232" t="s">
        <v>26</v>
      </c>
      <c r="I232" t="s">
        <v>27</v>
      </c>
      <c r="J232" t="s">
        <v>28</v>
      </c>
      <c r="K232" t="s">
        <v>29</v>
      </c>
      <c r="L232" t="s">
        <v>800</v>
      </c>
      <c r="M232" t="s">
        <v>59</v>
      </c>
      <c r="N232">
        <v>8</v>
      </c>
      <c r="O232">
        <v>1540.33</v>
      </c>
      <c r="P232">
        <v>0.1</v>
      </c>
      <c r="Q232">
        <v>11090.38</v>
      </c>
      <c r="R232">
        <v>8840.9500000000007</v>
      </c>
      <c r="S232">
        <v>2249.4299999999998</v>
      </c>
      <c r="T232" t="s">
        <v>32</v>
      </c>
      <c r="U232" t="s">
        <v>33</v>
      </c>
      <c r="V232">
        <f>IF(OR(B232="Invalid Date",C232="Invalid Date"),"Invalid Date",C232-B232)</f>
        <v>6</v>
      </c>
      <c r="W232" s="4" t="str">
        <f>IF(OR(B232="Invalid Date",C232="Invalid Date"),"Invalid Date",IF(C232&lt;B232,"Invalid Shipping","OK"))</f>
        <v>OK</v>
      </c>
      <c r="X232">
        <f t="shared" si="24"/>
        <v>1</v>
      </c>
      <c r="Y232">
        <f t="shared" si="25"/>
        <v>0.1</v>
      </c>
      <c r="Z232">
        <f t="shared" si="26"/>
        <v>11090.376</v>
      </c>
      <c r="AA232">
        <f t="shared" si="27"/>
        <v>2249.4259999999995</v>
      </c>
      <c r="AB232" s="6">
        <f t="shared" si="28"/>
        <v>0.20282684734944958</v>
      </c>
      <c r="AC232" t="str">
        <f t="shared" si="29"/>
        <v>May</v>
      </c>
      <c r="AD232">
        <f t="shared" si="30"/>
        <v>2024</v>
      </c>
      <c r="AE232" t="str">
        <f t="shared" si="31"/>
        <v>Clean</v>
      </c>
    </row>
    <row r="233" spans="1:31">
      <c r="A233" t="s">
        <v>801</v>
      </c>
      <c r="B233" s="3">
        <v>45414</v>
      </c>
      <c r="C233" s="3">
        <v>45327</v>
      </c>
      <c r="D233" t="s">
        <v>802</v>
      </c>
      <c r="E233" t="s">
        <v>62</v>
      </c>
      <c r="F233" t="s">
        <v>90</v>
      </c>
      <c r="G233" t="s">
        <v>25</v>
      </c>
      <c r="H233" t="s">
        <v>26</v>
      </c>
      <c r="I233" t="s">
        <v>27</v>
      </c>
      <c r="J233" t="s">
        <v>28</v>
      </c>
      <c r="K233" t="s">
        <v>91</v>
      </c>
      <c r="L233" t="s">
        <v>803</v>
      </c>
      <c r="M233" t="s">
        <v>50</v>
      </c>
      <c r="N233">
        <v>7</v>
      </c>
      <c r="O233">
        <v>2183.38</v>
      </c>
      <c r="P233">
        <v>0.25</v>
      </c>
      <c r="Q233">
        <v>11462.74</v>
      </c>
      <c r="R233">
        <v>7163.54</v>
      </c>
      <c r="S233">
        <v>4299.2</v>
      </c>
      <c r="T233" t="s">
        <v>102</v>
      </c>
      <c r="U233" t="s">
        <v>68</v>
      </c>
      <c r="V233">
        <f>IF(OR(B233="Invalid Date",C233="Invalid Date"),"Invalid Date",C233-B233)</f>
        <v>-87</v>
      </c>
      <c r="W233" s="4" t="str">
        <f>IF(OR(B233="Invalid Date",C233="Invalid Date"),"Invalid Date",IF(C233&lt;B233,"Invalid Shipping","OK"))</f>
        <v>Invalid Shipping</v>
      </c>
      <c r="X233">
        <f t="shared" si="24"/>
        <v>1</v>
      </c>
      <c r="Y233">
        <f t="shared" si="25"/>
        <v>0.25</v>
      </c>
      <c r="Z233">
        <f t="shared" si="26"/>
        <v>11462.744999999999</v>
      </c>
      <c r="AA233">
        <f t="shared" si="27"/>
        <v>4299.204999999999</v>
      </c>
      <c r="AB233" s="6">
        <f t="shared" si="28"/>
        <v>0.37505894094302888</v>
      </c>
      <c r="AC233" t="str">
        <f t="shared" si="29"/>
        <v>May</v>
      </c>
      <c r="AD233">
        <f t="shared" si="30"/>
        <v>2024</v>
      </c>
      <c r="AE233" t="str">
        <f t="shared" si="31"/>
        <v>Invalid</v>
      </c>
    </row>
    <row r="234" spans="1:31">
      <c r="A234" t="s">
        <v>804</v>
      </c>
      <c r="B234" s="3">
        <v>45812</v>
      </c>
      <c r="C234" s="3">
        <v>45818</v>
      </c>
      <c r="D234" t="s">
        <v>805</v>
      </c>
      <c r="E234" t="s">
        <v>118</v>
      </c>
      <c r="F234" t="s">
        <v>24</v>
      </c>
      <c r="G234" t="s">
        <v>54</v>
      </c>
      <c r="H234" t="s">
        <v>84</v>
      </c>
      <c r="I234" t="s">
        <v>85</v>
      </c>
      <c r="J234" t="s">
        <v>74</v>
      </c>
      <c r="K234" t="s">
        <v>171</v>
      </c>
      <c r="L234" t="s">
        <v>806</v>
      </c>
      <c r="M234" t="s">
        <v>59</v>
      </c>
      <c r="N234">
        <v>4</v>
      </c>
      <c r="O234">
        <v>223.37</v>
      </c>
      <c r="P234">
        <v>0.25</v>
      </c>
      <c r="Q234">
        <v>670.11</v>
      </c>
      <c r="R234">
        <v>559.57000000000005</v>
      </c>
      <c r="S234">
        <v>110.54</v>
      </c>
      <c r="T234" t="s">
        <v>32</v>
      </c>
      <c r="U234" t="s">
        <v>33</v>
      </c>
      <c r="V234">
        <f>IF(OR(B234="Invalid Date",C234="Invalid Date"),"Invalid Date",C234-B234)</f>
        <v>6</v>
      </c>
      <c r="W234" s="4" t="str">
        <f>IF(OR(B234="Invalid Date",C234="Invalid Date"),"Invalid Date",IF(C234&lt;B234,"Invalid Shipping","OK"))</f>
        <v>OK</v>
      </c>
      <c r="X234">
        <f t="shared" si="24"/>
        <v>1</v>
      </c>
      <c r="Y234">
        <f t="shared" si="25"/>
        <v>0.25</v>
      </c>
      <c r="Z234">
        <f t="shared" si="26"/>
        <v>670.11</v>
      </c>
      <c r="AA234">
        <f t="shared" si="27"/>
        <v>110.53999999999996</v>
      </c>
      <c r="AB234" s="6">
        <f t="shared" si="28"/>
        <v>0.16495799197146732</v>
      </c>
      <c r="AC234" t="str">
        <f t="shared" si="29"/>
        <v>June</v>
      </c>
      <c r="AD234">
        <f t="shared" si="30"/>
        <v>2025</v>
      </c>
      <c r="AE234" t="str">
        <f t="shared" si="31"/>
        <v>Clean</v>
      </c>
    </row>
    <row r="235" spans="1:31">
      <c r="A235" t="s">
        <v>807</v>
      </c>
      <c r="B235" s="3">
        <v>45579</v>
      </c>
      <c r="C235" s="3" t="s">
        <v>2763</v>
      </c>
      <c r="D235" t="s">
        <v>808</v>
      </c>
      <c r="E235" t="s">
        <v>71</v>
      </c>
      <c r="F235" t="s">
        <v>90</v>
      </c>
      <c r="G235" t="s">
        <v>54</v>
      </c>
      <c r="H235" t="s">
        <v>175</v>
      </c>
      <c r="I235" t="s">
        <v>176</v>
      </c>
      <c r="J235" t="s">
        <v>41</v>
      </c>
      <c r="K235" t="s">
        <v>158</v>
      </c>
      <c r="L235" t="s">
        <v>809</v>
      </c>
      <c r="M235" t="s">
        <v>2767</v>
      </c>
      <c r="N235">
        <v>8</v>
      </c>
      <c r="O235">
        <v>3904.59</v>
      </c>
      <c r="P235">
        <v>0</v>
      </c>
      <c r="Q235">
        <v>31236.720000000001</v>
      </c>
      <c r="R235">
        <v>26377.7</v>
      </c>
      <c r="S235">
        <v>4859.0200000000004</v>
      </c>
      <c r="T235" t="s">
        <v>32</v>
      </c>
      <c r="U235" t="s">
        <v>33</v>
      </c>
      <c r="V235" t="str">
        <f>IF(OR(B235="Invalid Date",C235="Invalid Date"),"Invalid Date",C235-B235)</f>
        <v>Invalid Date</v>
      </c>
      <c r="W235" s="4" t="str">
        <f>IF(OR(B235="Invalid Date",C235="Invalid Date"),"Invalid Date",IF(C235&lt;B235,"Invalid Shipping","OK"))</f>
        <v>Invalid Date</v>
      </c>
      <c r="X235">
        <f t="shared" si="24"/>
        <v>1</v>
      </c>
      <c r="Y235">
        <f t="shared" si="25"/>
        <v>0</v>
      </c>
      <c r="Z235">
        <f t="shared" si="26"/>
        <v>31236.720000000001</v>
      </c>
      <c r="AA235">
        <f t="shared" si="27"/>
        <v>4859.0200000000004</v>
      </c>
      <c r="AB235" s="6">
        <f t="shared" si="28"/>
        <v>0.15555474454424154</v>
      </c>
      <c r="AC235" t="str">
        <f t="shared" si="29"/>
        <v>October</v>
      </c>
      <c r="AD235">
        <f t="shared" si="30"/>
        <v>2024</v>
      </c>
      <c r="AE235" t="str">
        <f t="shared" si="31"/>
        <v>Invalid</v>
      </c>
    </row>
    <row r="236" spans="1:31">
      <c r="A236" t="s">
        <v>810</v>
      </c>
      <c r="B236" s="3">
        <v>45331</v>
      </c>
      <c r="C236" s="3">
        <v>45538</v>
      </c>
      <c r="D236" t="s">
        <v>811</v>
      </c>
      <c r="E236" t="s">
        <v>264</v>
      </c>
      <c r="F236" t="s">
        <v>95</v>
      </c>
      <c r="G236" t="s">
        <v>25</v>
      </c>
      <c r="H236" t="s">
        <v>350</v>
      </c>
      <c r="I236" t="s">
        <v>351</v>
      </c>
      <c r="J236" t="s">
        <v>41</v>
      </c>
      <c r="K236" t="s">
        <v>57</v>
      </c>
      <c r="L236" t="s">
        <v>812</v>
      </c>
      <c r="M236" t="s">
        <v>50</v>
      </c>
      <c r="N236">
        <v>9</v>
      </c>
      <c r="O236">
        <v>1353.61</v>
      </c>
      <c r="P236">
        <v>0.1</v>
      </c>
      <c r="Q236">
        <v>10964.24</v>
      </c>
      <c r="R236">
        <v>9262.4699999999993</v>
      </c>
      <c r="S236">
        <v>1701.77</v>
      </c>
      <c r="T236" t="s">
        <v>32</v>
      </c>
      <c r="U236" t="s">
        <v>33</v>
      </c>
      <c r="V236">
        <f>IF(OR(B236="Invalid Date",C236="Invalid Date"),"Invalid Date",C236-B236)</f>
        <v>207</v>
      </c>
      <c r="W236" s="4" t="str">
        <f>IF(OR(B236="Invalid Date",C236="Invalid Date"),"Invalid Date",IF(C236&lt;B236,"Invalid Shipping","OK"))</f>
        <v>OK</v>
      </c>
      <c r="X236">
        <f t="shared" si="24"/>
        <v>1</v>
      </c>
      <c r="Y236">
        <f t="shared" si="25"/>
        <v>0.1</v>
      </c>
      <c r="Z236">
        <f t="shared" si="26"/>
        <v>10964.241</v>
      </c>
      <c r="AA236">
        <f t="shared" si="27"/>
        <v>1701.7710000000006</v>
      </c>
      <c r="AB236" s="6">
        <f t="shared" si="28"/>
        <v>0.15521101734265058</v>
      </c>
      <c r="AC236" t="str">
        <f t="shared" si="29"/>
        <v>February</v>
      </c>
      <c r="AD236">
        <f t="shared" si="30"/>
        <v>2024</v>
      </c>
      <c r="AE236" t="str">
        <f t="shared" si="31"/>
        <v>Clean</v>
      </c>
    </row>
    <row r="237" spans="1:31">
      <c r="A237" t="s">
        <v>813</v>
      </c>
      <c r="B237" s="3">
        <v>45333</v>
      </c>
      <c r="C237" s="3">
        <v>45362</v>
      </c>
      <c r="D237" t="s">
        <v>814</v>
      </c>
      <c r="E237" t="s">
        <v>118</v>
      </c>
      <c r="F237" t="s">
        <v>37</v>
      </c>
      <c r="G237" t="s">
        <v>63</v>
      </c>
      <c r="H237" t="s">
        <v>26</v>
      </c>
      <c r="I237" t="s">
        <v>109</v>
      </c>
      <c r="J237" t="s">
        <v>28</v>
      </c>
      <c r="K237" t="s">
        <v>124</v>
      </c>
      <c r="L237" t="s">
        <v>815</v>
      </c>
      <c r="M237" t="s">
        <v>59</v>
      </c>
      <c r="N237">
        <v>6</v>
      </c>
      <c r="O237">
        <v>2671.29</v>
      </c>
      <c r="P237">
        <v>0.05</v>
      </c>
      <c r="Q237">
        <v>15226.35</v>
      </c>
      <c r="R237">
        <v>11145.28</v>
      </c>
      <c r="S237">
        <v>4081.07</v>
      </c>
      <c r="T237" t="s">
        <v>32</v>
      </c>
      <c r="U237" t="s">
        <v>33</v>
      </c>
      <c r="V237">
        <f>IF(OR(B237="Invalid Date",C237="Invalid Date"),"Invalid Date",C237-B237)</f>
        <v>29</v>
      </c>
      <c r="W237" s="4" t="str">
        <f>IF(OR(B237="Invalid Date",C237="Invalid Date"),"Invalid Date",IF(C237&lt;B237,"Invalid Shipping","OK"))</f>
        <v>OK</v>
      </c>
      <c r="X237">
        <f t="shared" si="24"/>
        <v>1</v>
      </c>
      <c r="Y237">
        <f t="shared" si="25"/>
        <v>0.05</v>
      </c>
      <c r="Z237">
        <f t="shared" si="26"/>
        <v>15226.352999999999</v>
      </c>
      <c r="AA237">
        <f t="shared" si="27"/>
        <v>4081.0729999999985</v>
      </c>
      <c r="AB237" s="6">
        <f t="shared" si="28"/>
        <v>0.26802695300706603</v>
      </c>
      <c r="AC237" t="str">
        <f t="shared" si="29"/>
        <v>February</v>
      </c>
      <c r="AD237">
        <f t="shared" si="30"/>
        <v>2024</v>
      </c>
      <c r="AE237" t="str">
        <f t="shared" si="31"/>
        <v>Clean</v>
      </c>
    </row>
    <row r="238" spans="1:31">
      <c r="A238" t="s">
        <v>816</v>
      </c>
      <c r="B238" s="3" t="s">
        <v>2763</v>
      </c>
      <c r="C238" s="3">
        <v>45586</v>
      </c>
      <c r="D238" t="s">
        <v>817</v>
      </c>
      <c r="E238" t="s">
        <v>114</v>
      </c>
      <c r="F238" t="s">
        <v>90</v>
      </c>
      <c r="G238" t="s">
        <v>25</v>
      </c>
      <c r="H238" t="s">
        <v>136</v>
      </c>
      <c r="I238" t="s">
        <v>137</v>
      </c>
      <c r="J238" t="s">
        <v>41</v>
      </c>
      <c r="K238" t="s">
        <v>158</v>
      </c>
      <c r="L238" t="s">
        <v>818</v>
      </c>
      <c r="M238" t="s">
        <v>50</v>
      </c>
      <c r="N238">
        <v>6</v>
      </c>
      <c r="O238">
        <v>4062.78</v>
      </c>
      <c r="P238">
        <v>0</v>
      </c>
      <c r="Q238">
        <v>24376.68</v>
      </c>
      <c r="R238">
        <v>18533.39</v>
      </c>
      <c r="S238">
        <v>5843.29</v>
      </c>
      <c r="T238" t="s">
        <v>32</v>
      </c>
      <c r="U238" t="s">
        <v>33</v>
      </c>
      <c r="V238" t="str">
        <f>IF(OR(B238="Invalid Date",C238="Invalid Date"),"Invalid Date",C238-B238)</f>
        <v>Invalid Date</v>
      </c>
      <c r="W238" s="4" t="str">
        <f>IF(OR(B238="Invalid Date",C238="Invalid Date"),"Invalid Date",IF(C238&lt;B238,"Invalid Shipping","OK"))</f>
        <v>Invalid Date</v>
      </c>
      <c r="X238">
        <f t="shared" si="24"/>
        <v>1</v>
      </c>
      <c r="Y238">
        <f t="shared" si="25"/>
        <v>0</v>
      </c>
      <c r="Z238">
        <f t="shared" si="26"/>
        <v>24376.68</v>
      </c>
      <c r="AA238">
        <f t="shared" si="27"/>
        <v>5843.2900000000009</v>
      </c>
      <c r="AB238" s="6">
        <f t="shared" si="28"/>
        <v>0.23970819652224998</v>
      </c>
      <c r="AC238" t="str">
        <f t="shared" si="29"/>
        <v/>
      </c>
      <c r="AD238" t="str">
        <f t="shared" si="30"/>
        <v/>
      </c>
      <c r="AE238" t="str">
        <f t="shared" si="31"/>
        <v>Invalid</v>
      </c>
    </row>
    <row r="239" spans="1:31">
      <c r="A239" t="s">
        <v>819</v>
      </c>
      <c r="B239" s="3">
        <v>45531</v>
      </c>
      <c r="C239" s="3">
        <v>45531</v>
      </c>
      <c r="D239" t="s">
        <v>820</v>
      </c>
      <c r="E239" t="s">
        <v>36</v>
      </c>
      <c r="F239" t="s">
        <v>24</v>
      </c>
      <c r="G239" t="s">
        <v>25</v>
      </c>
      <c r="H239" t="s">
        <v>236</v>
      </c>
      <c r="I239" t="s">
        <v>237</v>
      </c>
      <c r="J239" t="s">
        <v>74</v>
      </c>
      <c r="K239" t="s">
        <v>80</v>
      </c>
      <c r="L239" t="s">
        <v>821</v>
      </c>
      <c r="M239" t="s">
        <v>59</v>
      </c>
      <c r="N239">
        <v>9</v>
      </c>
      <c r="O239">
        <v>2330.3000000000002</v>
      </c>
      <c r="P239">
        <v>0</v>
      </c>
      <c r="Q239">
        <v>20972.7</v>
      </c>
      <c r="R239">
        <v>13504.88</v>
      </c>
      <c r="S239">
        <v>7467.82</v>
      </c>
      <c r="T239" t="s">
        <v>32</v>
      </c>
      <c r="U239" t="s">
        <v>33</v>
      </c>
      <c r="V239">
        <f>IF(OR(B239="Invalid Date",C239="Invalid Date"),"Invalid Date",C239-B239)</f>
        <v>0</v>
      </c>
      <c r="W239" s="4" t="str">
        <f>IF(OR(B239="Invalid Date",C239="Invalid Date"),"Invalid Date",IF(C239&lt;B239,"Invalid Shipping","OK"))</f>
        <v>OK</v>
      </c>
      <c r="X239">
        <f t="shared" si="24"/>
        <v>1</v>
      </c>
      <c r="Y239">
        <f t="shared" si="25"/>
        <v>0</v>
      </c>
      <c r="Z239">
        <f t="shared" si="26"/>
        <v>20972.7</v>
      </c>
      <c r="AA239">
        <f t="shared" si="27"/>
        <v>7467.8200000000015</v>
      </c>
      <c r="AB239" s="6">
        <f t="shared" si="28"/>
        <v>0.35607337157352181</v>
      </c>
      <c r="AC239" t="str">
        <f t="shared" si="29"/>
        <v>August</v>
      </c>
      <c r="AD239">
        <f t="shared" si="30"/>
        <v>2024</v>
      </c>
      <c r="AE239" t="str">
        <f t="shared" si="31"/>
        <v>Clean</v>
      </c>
    </row>
    <row r="240" spans="1:31">
      <c r="A240" t="s">
        <v>822</v>
      </c>
      <c r="B240" s="3">
        <v>45627</v>
      </c>
      <c r="C240" s="3" t="s">
        <v>2763</v>
      </c>
      <c r="D240" t="s">
        <v>823</v>
      </c>
      <c r="E240" t="s">
        <v>53</v>
      </c>
      <c r="F240" t="s">
        <v>24</v>
      </c>
      <c r="G240" t="s">
        <v>54</v>
      </c>
      <c r="H240" t="s">
        <v>84</v>
      </c>
      <c r="I240" t="s">
        <v>85</v>
      </c>
      <c r="J240" t="s">
        <v>28</v>
      </c>
      <c r="K240" t="s">
        <v>124</v>
      </c>
      <c r="L240" t="s">
        <v>824</v>
      </c>
      <c r="M240" t="s">
        <v>50</v>
      </c>
      <c r="N240">
        <v>7</v>
      </c>
      <c r="O240">
        <v>4005.05</v>
      </c>
      <c r="P240">
        <v>0.55000000000000004</v>
      </c>
      <c r="Q240">
        <v>26633.58</v>
      </c>
      <c r="R240">
        <v>18838.75</v>
      </c>
      <c r="S240">
        <v>7794.83</v>
      </c>
      <c r="T240" t="s">
        <v>32</v>
      </c>
      <c r="U240" t="s">
        <v>33</v>
      </c>
      <c r="V240" t="str">
        <f>IF(OR(B240="Invalid Date",C240="Invalid Date"),"Invalid Date",C240-B240)</f>
        <v>Invalid Date</v>
      </c>
      <c r="W240" s="4" t="str">
        <f>IF(OR(B240="Invalid Date",C240="Invalid Date"),"Invalid Date",IF(C240&lt;B240,"Invalid Shipping","OK"))</f>
        <v>Invalid Date</v>
      </c>
      <c r="X240">
        <f t="shared" si="24"/>
        <v>1</v>
      </c>
      <c r="Y240">
        <f t="shared" si="25"/>
        <v>0.55000000000000004</v>
      </c>
      <c r="Z240">
        <f t="shared" si="26"/>
        <v>12615.907499999999</v>
      </c>
      <c r="AA240">
        <f t="shared" si="27"/>
        <v>-6222.8425000000007</v>
      </c>
      <c r="AB240" s="6">
        <f t="shared" si="28"/>
        <v>-0.4932536561480021</v>
      </c>
      <c r="AC240" t="str">
        <f t="shared" si="29"/>
        <v>December</v>
      </c>
      <c r="AD240">
        <f t="shared" si="30"/>
        <v>2024</v>
      </c>
      <c r="AE240" t="str">
        <f t="shared" si="31"/>
        <v>Invalid</v>
      </c>
    </row>
    <row r="241" spans="1:31">
      <c r="A241" t="s">
        <v>825</v>
      </c>
      <c r="B241" s="3">
        <v>45556</v>
      </c>
      <c r="C241" s="3" t="s">
        <v>2763</v>
      </c>
      <c r="D241" t="s">
        <v>826</v>
      </c>
      <c r="E241" t="s">
        <v>264</v>
      </c>
      <c r="F241" t="s">
        <v>90</v>
      </c>
      <c r="G241" t="s">
        <v>54</v>
      </c>
      <c r="H241" t="s">
        <v>175</v>
      </c>
      <c r="I241" t="s">
        <v>176</v>
      </c>
      <c r="J241" t="s">
        <v>74</v>
      </c>
      <c r="K241" t="s">
        <v>274</v>
      </c>
      <c r="L241" t="s">
        <v>827</v>
      </c>
      <c r="M241" t="s">
        <v>50</v>
      </c>
      <c r="N241">
        <v>2</v>
      </c>
      <c r="O241">
        <v>1960.06</v>
      </c>
      <c r="P241">
        <v>0.2</v>
      </c>
      <c r="Q241">
        <v>3136.1</v>
      </c>
      <c r="R241">
        <v>2279.4899999999998</v>
      </c>
      <c r="S241">
        <v>856.61</v>
      </c>
      <c r="T241" t="s">
        <v>32</v>
      </c>
      <c r="U241" t="s">
        <v>33</v>
      </c>
      <c r="V241" t="str">
        <f>IF(OR(B241="Invalid Date",C241="Invalid Date"),"Invalid Date",C241-B241)</f>
        <v>Invalid Date</v>
      </c>
      <c r="W241" s="4" t="str">
        <f>IF(OR(B241="Invalid Date",C241="Invalid Date"),"Invalid Date",IF(C241&lt;B241,"Invalid Shipping","OK"))</f>
        <v>Invalid Date</v>
      </c>
      <c r="X241">
        <f t="shared" si="24"/>
        <v>1</v>
      </c>
      <c r="Y241">
        <f t="shared" si="25"/>
        <v>0.2</v>
      </c>
      <c r="Z241">
        <f t="shared" si="26"/>
        <v>3136.096</v>
      </c>
      <c r="AA241">
        <f t="shared" si="27"/>
        <v>856.60600000000022</v>
      </c>
      <c r="AB241" s="6">
        <f t="shared" si="28"/>
        <v>0.273144061916472</v>
      </c>
      <c r="AC241" t="str">
        <f t="shared" si="29"/>
        <v>September</v>
      </c>
      <c r="AD241">
        <f t="shared" si="30"/>
        <v>2024</v>
      </c>
      <c r="AE241" t="str">
        <f t="shared" si="31"/>
        <v>Invalid</v>
      </c>
    </row>
    <row r="242" spans="1:31">
      <c r="A242" t="s">
        <v>828</v>
      </c>
      <c r="B242" s="3">
        <v>45643</v>
      </c>
      <c r="C242" s="3">
        <v>45649</v>
      </c>
      <c r="D242" t="s">
        <v>829</v>
      </c>
      <c r="E242" t="s">
        <v>128</v>
      </c>
      <c r="F242" t="s">
        <v>90</v>
      </c>
      <c r="G242" t="s">
        <v>54</v>
      </c>
      <c r="H242" t="s">
        <v>55</v>
      </c>
      <c r="I242" t="s">
        <v>56</v>
      </c>
      <c r="J242" t="s">
        <v>28</v>
      </c>
      <c r="K242" t="s">
        <v>153</v>
      </c>
      <c r="L242" t="s">
        <v>830</v>
      </c>
      <c r="M242" t="s">
        <v>50</v>
      </c>
      <c r="N242">
        <v>9</v>
      </c>
      <c r="O242">
        <v>2315.1</v>
      </c>
      <c r="P242">
        <v>0</v>
      </c>
      <c r="Q242">
        <v>20835.900000000001</v>
      </c>
      <c r="R242">
        <v>13928.19</v>
      </c>
      <c r="S242">
        <v>6907.71</v>
      </c>
      <c r="T242" t="s">
        <v>32</v>
      </c>
      <c r="U242" t="s">
        <v>33</v>
      </c>
      <c r="V242">
        <f>IF(OR(B242="Invalid Date",C242="Invalid Date"),"Invalid Date",C242-B242)</f>
        <v>6</v>
      </c>
      <c r="W242" s="4" t="str">
        <f>IF(OR(B242="Invalid Date",C242="Invalid Date"),"Invalid Date",IF(C242&lt;B242,"Invalid Shipping","OK"))</f>
        <v>OK</v>
      </c>
      <c r="X242">
        <f t="shared" si="24"/>
        <v>1</v>
      </c>
      <c r="Y242">
        <f t="shared" si="25"/>
        <v>0</v>
      </c>
      <c r="Z242">
        <f t="shared" si="26"/>
        <v>20835.899999999998</v>
      </c>
      <c r="AA242">
        <f t="shared" si="27"/>
        <v>6907.7099999999973</v>
      </c>
      <c r="AB242" s="6">
        <f t="shared" si="28"/>
        <v>0.33152923559817421</v>
      </c>
      <c r="AC242" t="str">
        <f t="shared" si="29"/>
        <v>December</v>
      </c>
      <c r="AD242">
        <f t="shared" si="30"/>
        <v>2024</v>
      </c>
      <c r="AE242" t="str">
        <f t="shared" si="31"/>
        <v>Clean</v>
      </c>
    </row>
    <row r="243" spans="1:31">
      <c r="A243" t="s">
        <v>831</v>
      </c>
      <c r="B243" s="3">
        <v>45815</v>
      </c>
      <c r="C243" s="3">
        <v>45844</v>
      </c>
      <c r="D243" t="s">
        <v>832</v>
      </c>
      <c r="E243" t="s">
        <v>132</v>
      </c>
      <c r="F243" t="s">
        <v>90</v>
      </c>
      <c r="G243" t="s">
        <v>25</v>
      </c>
      <c r="H243" t="s">
        <v>236</v>
      </c>
      <c r="I243" t="s">
        <v>237</v>
      </c>
      <c r="J243" t="s">
        <v>28</v>
      </c>
      <c r="K243" t="s">
        <v>124</v>
      </c>
      <c r="L243" t="s">
        <v>833</v>
      </c>
      <c r="M243" t="s">
        <v>59</v>
      </c>
      <c r="N243">
        <v>1</v>
      </c>
      <c r="O243">
        <v>1617.2</v>
      </c>
      <c r="P243">
        <v>0.25</v>
      </c>
      <c r="Q243">
        <v>1212.9000000000001</v>
      </c>
      <c r="R243">
        <v>690.52</v>
      </c>
      <c r="S243">
        <v>522.38</v>
      </c>
      <c r="T243" t="s">
        <v>111</v>
      </c>
      <c r="U243" t="s">
        <v>103</v>
      </c>
      <c r="V243">
        <f>IF(OR(B243="Invalid Date",C243="Invalid Date"),"Invalid Date",C243-B243)</f>
        <v>29</v>
      </c>
      <c r="W243" s="4" t="str">
        <f>IF(OR(B243="Invalid Date",C243="Invalid Date"),"Invalid Date",IF(C243&lt;B243,"Invalid Shipping","OK"))</f>
        <v>OK</v>
      </c>
      <c r="X243">
        <f t="shared" si="24"/>
        <v>1</v>
      </c>
      <c r="Y243">
        <f t="shared" si="25"/>
        <v>0.25</v>
      </c>
      <c r="Z243">
        <f t="shared" si="26"/>
        <v>1212.9000000000001</v>
      </c>
      <c r="AA243">
        <f t="shared" si="27"/>
        <v>522.38000000000011</v>
      </c>
      <c r="AB243" s="6">
        <f t="shared" si="28"/>
        <v>0.4306867837414462</v>
      </c>
      <c r="AC243" t="str">
        <f t="shared" si="29"/>
        <v>June</v>
      </c>
      <c r="AD243">
        <f t="shared" si="30"/>
        <v>2025</v>
      </c>
      <c r="AE243" t="str">
        <f t="shared" si="31"/>
        <v>Clean</v>
      </c>
    </row>
    <row r="244" spans="1:31">
      <c r="A244" t="s">
        <v>834</v>
      </c>
      <c r="B244" s="3">
        <v>45695</v>
      </c>
      <c r="C244" s="3">
        <v>45695</v>
      </c>
      <c r="D244" t="s">
        <v>835</v>
      </c>
      <c r="E244" t="s">
        <v>53</v>
      </c>
      <c r="F244" t="s">
        <v>24</v>
      </c>
      <c r="G244" t="s">
        <v>25</v>
      </c>
      <c r="H244" t="s">
        <v>136</v>
      </c>
      <c r="I244" t="s">
        <v>137</v>
      </c>
      <c r="J244" t="s">
        <v>28</v>
      </c>
      <c r="K244" t="s">
        <v>48</v>
      </c>
      <c r="L244" t="s">
        <v>836</v>
      </c>
      <c r="M244" t="s">
        <v>31</v>
      </c>
      <c r="N244">
        <v>3</v>
      </c>
      <c r="O244">
        <v>1999.24</v>
      </c>
      <c r="P244">
        <v>0.05</v>
      </c>
      <c r="Q244">
        <v>5697.83</v>
      </c>
      <c r="R244">
        <v>4251.5</v>
      </c>
      <c r="S244">
        <v>1446.33</v>
      </c>
      <c r="T244" t="s">
        <v>32</v>
      </c>
      <c r="U244" t="s">
        <v>33</v>
      </c>
      <c r="V244">
        <f>IF(OR(B244="Invalid Date",C244="Invalid Date"),"Invalid Date",C244-B244)</f>
        <v>0</v>
      </c>
      <c r="W244" s="4" t="str">
        <f>IF(OR(B244="Invalid Date",C244="Invalid Date"),"Invalid Date",IF(C244&lt;B244,"Invalid Shipping","OK"))</f>
        <v>OK</v>
      </c>
      <c r="X244">
        <f t="shared" si="24"/>
        <v>1</v>
      </c>
      <c r="Y244">
        <f t="shared" si="25"/>
        <v>0.05</v>
      </c>
      <c r="Z244">
        <f t="shared" si="26"/>
        <v>5697.8339999999998</v>
      </c>
      <c r="AA244">
        <f t="shared" si="27"/>
        <v>1446.3339999999998</v>
      </c>
      <c r="AB244" s="6">
        <f t="shared" si="28"/>
        <v>0.25383926593860051</v>
      </c>
      <c r="AC244" t="str">
        <f t="shared" si="29"/>
        <v>February</v>
      </c>
      <c r="AD244">
        <f t="shared" si="30"/>
        <v>2025</v>
      </c>
      <c r="AE244" t="str">
        <f t="shared" si="31"/>
        <v>Clean</v>
      </c>
    </row>
    <row r="245" spans="1:31">
      <c r="A245" t="s">
        <v>837</v>
      </c>
      <c r="B245" s="3">
        <v>45867</v>
      </c>
      <c r="C245" s="3">
        <v>45871</v>
      </c>
      <c r="D245" t="s">
        <v>838</v>
      </c>
      <c r="E245" t="s">
        <v>132</v>
      </c>
      <c r="F245" t="s">
        <v>37</v>
      </c>
      <c r="G245" t="s">
        <v>2767</v>
      </c>
      <c r="H245" t="s">
        <v>72</v>
      </c>
      <c r="I245" t="s">
        <v>73</v>
      </c>
      <c r="J245" t="s">
        <v>74</v>
      </c>
      <c r="K245" t="s">
        <v>75</v>
      </c>
      <c r="L245" t="s">
        <v>839</v>
      </c>
      <c r="M245" t="s">
        <v>50</v>
      </c>
      <c r="N245">
        <v>1</v>
      </c>
      <c r="O245">
        <v>4499.46</v>
      </c>
      <c r="P245">
        <v>0.1</v>
      </c>
      <c r="Q245">
        <v>4049.51</v>
      </c>
      <c r="R245">
        <v>2509.1999999999998</v>
      </c>
      <c r="S245">
        <v>1540.31</v>
      </c>
      <c r="T245" t="s">
        <v>32</v>
      </c>
      <c r="U245" t="s">
        <v>33</v>
      </c>
      <c r="V245">
        <f>IF(OR(B245="Invalid Date",C245="Invalid Date"),"Invalid Date",C245-B245)</f>
        <v>4</v>
      </c>
      <c r="W245" s="4" t="str">
        <f>IF(OR(B245="Invalid Date",C245="Invalid Date"),"Invalid Date",IF(C245&lt;B245,"Invalid Shipping","OK"))</f>
        <v>OK</v>
      </c>
      <c r="X245">
        <f t="shared" si="24"/>
        <v>1</v>
      </c>
      <c r="Y245">
        <f t="shared" si="25"/>
        <v>0.1</v>
      </c>
      <c r="Z245">
        <f t="shared" si="26"/>
        <v>4049.5140000000001</v>
      </c>
      <c r="AA245">
        <f t="shared" si="27"/>
        <v>1540.3140000000003</v>
      </c>
      <c r="AB245" s="6">
        <f t="shared" si="28"/>
        <v>0.38037008885510715</v>
      </c>
      <c r="AC245" t="str">
        <f t="shared" si="29"/>
        <v>July</v>
      </c>
      <c r="AD245">
        <f t="shared" si="30"/>
        <v>2025</v>
      </c>
      <c r="AE245" t="str">
        <f t="shared" si="31"/>
        <v>Warning</v>
      </c>
    </row>
    <row r="246" spans="1:31">
      <c r="A246" t="s">
        <v>840</v>
      </c>
      <c r="B246" s="3" t="s">
        <v>2763</v>
      </c>
      <c r="C246" s="3">
        <v>45528</v>
      </c>
      <c r="D246" t="s">
        <v>841</v>
      </c>
      <c r="E246" t="s">
        <v>79</v>
      </c>
      <c r="F246" t="s">
        <v>24</v>
      </c>
      <c r="G246" t="s">
        <v>54</v>
      </c>
      <c r="H246" t="s">
        <v>55</v>
      </c>
      <c r="I246" t="s">
        <v>56</v>
      </c>
      <c r="J246" t="s">
        <v>41</v>
      </c>
      <c r="K246" t="s">
        <v>158</v>
      </c>
      <c r="L246" t="s">
        <v>842</v>
      </c>
      <c r="M246" t="s">
        <v>44</v>
      </c>
      <c r="N246">
        <v>6</v>
      </c>
      <c r="O246">
        <v>1021.89</v>
      </c>
      <c r="P246">
        <v>0</v>
      </c>
      <c r="Q246">
        <v>6131.34</v>
      </c>
      <c r="R246">
        <v>4060.88</v>
      </c>
      <c r="S246">
        <v>2070.46</v>
      </c>
      <c r="T246" t="s">
        <v>32</v>
      </c>
      <c r="U246" t="s">
        <v>33</v>
      </c>
      <c r="V246" t="str">
        <f>IF(OR(B246="Invalid Date",C246="Invalid Date"),"Invalid Date",C246-B246)</f>
        <v>Invalid Date</v>
      </c>
      <c r="W246" s="4" t="str">
        <f>IF(OR(B246="Invalid Date",C246="Invalid Date"),"Invalid Date",IF(C246&lt;B246,"Invalid Shipping","OK"))</f>
        <v>Invalid Date</v>
      </c>
      <c r="X246">
        <f t="shared" si="24"/>
        <v>1</v>
      </c>
      <c r="Y246">
        <f t="shared" si="25"/>
        <v>0</v>
      </c>
      <c r="Z246">
        <f t="shared" si="26"/>
        <v>6131.34</v>
      </c>
      <c r="AA246">
        <f t="shared" si="27"/>
        <v>2070.46</v>
      </c>
      <c r="AB246" s="6">
        <f t="shared" si="28"/>
        <v>0.33768474754295147</v>
      </c>
      <c r="AC246" t="str">
        <f t="shared" si="29"/>
        <v/>
      </c>
      <c r="AD246" t="str">
        <f t="shared" si="30"/>
        <v/>
      </c>
      <c r="AE246" t="str">
        <f t="shared" si="31"/>
        <v>Invalid</v>
      </c>
    </row>
    <row r="247" spans="1:31">
      <c r="A247" t="s">
        <v>843</v>
      </c>
      <c r="B247" s="3" t="s">
        <v>2763</v>
      </c>
      <c r="C247" s="3">
        <v>45589</v>
      </c>
      <c r="D247" t="s">
        <v>844</v>
      </c>
      <c r="E247" t="s">
        <v>79</v>
      </c>
      <c r="F247" t="s">
        <v>95</v>
      </c>
      <c r="G247" t="s">
        <v>54</v>
      </c>
      <c r="H247" t="s">
        <v>185</v>
      </c>
      <c r="I247" t="s">
        <v>186</v>
      </c>
      <c r="J247" t="s">
        <v>41</v>
      </c>
      <c r="K247" t="s">
        <v>66</v>
      </c>
      <c r="L247" t="s">
        <v>845</v>
      </c>
      <c r="M247" t="s">
        <v>31</v>
      </c>
      <c r="N247">
        <v>3</v>
      </c>
      <c r="O247">
        <v>3275.93</v>
      </c>
      <c r="P247">
        <v>0</v>
      </c>
      <c r="Q247">
        <v>9827.7900000000009</v>
      </c>
      <c r="R247">
        <v>5478.28</v>
      </c>
      <c r="S247">
        <v>4349.51</v>
      </c>
      <c r="T247" t="s">
        <v>32</v>
      </c>
      <c r="U247" t="s">
        <v>33</v>
      </c>
      <c r="V247" t="str">
        <f>IF(OR(B247="Invalid Date",C247="Invalid Date"),"Invalid Date",C247-B247)</f>
        <v>Invalid Date</v>
      </c>
      <c r="W247" s="4" t="str">
        <f>IF(OR(B247="Invalid Date",C247="Invalid Date"),"Invalid Date",IF(C247&lt;B247,"Invalid Shipping","OK"))</f>
        <v>Invalid Date</v>
      </c>
      <c r="X247">
        <f t="shared" si="24"/>
        <v>1</v>
      </c>
      <c r="Y247">
        <f t="shared" si="25"/>
        <v>0</v>
      </c>
      <c r="Z247">
        <f t="shared" si="26"/>
        <v>9827.7899999999991</v>
      </c>
      <c r="AA247">
        <f t="shared" si="27"/>
        <v>4349.5099999999993</v>
      </c>
      <c r="AB247" s="6">
        <f t="shared" si="28"/>
        <v>0.44257254174132737</v>
      </c>
      <c r="AC247" t="str">
        <f t="shared" si="29"/>
        <v/>
      </c>
      <c r="AD247" t="str">
        <f t="shared" si="30"/>
        <v/>
      </c>
      <c r="AE247" t="str">
        <f t="shared" si="31"/>
        <v>Invalid</v>
      </c>
    </row>
    <row r="248" spans="1:31">
      <c r="A248" t="s">
        <v>846</v>
      </c>
      <c r="B248" s="3">
        <v>45416</v>
      </c>
      <c r="C248" s="3">
        <v>45421</v>
      </c>
      <c r="D248" t="s">
        <v>847</v>
      </c>
      <c r="E248" t="s">
        <v>62</v>
      </c>
      <c r="F248" t="s">
        <v>90</v>
      </c>
      <c r="G248" t="s">
        <v>25</v>
      </c>
      <c r="H248" t="s">
        <v>122</v>
      </c>
      <c r="I248" t="s">
        <v>123</v>
      </c>
      <c r="J248" t="s">
        <v>74</v>
      </c>
      <c r="K248" t="s">
        <v>274</v>
      </c>
      <c r="L248" t="s">
        <v>848</v>
      </c>
      <c r="M248" t="s">
        <v>44</v>
      </c>
      <c r="N248">
        <v>3</v>
      </c>
      <c r="O248">
        <v>231.95</v>
      </c>
      <c r="P248">
        <v>0.25</v>
      </c>
      <c r="Q248">
        <v>521.89</v>
      </c>
      <c r="R248">
        <v>444.52</v>
      </c>
      <c r="S248">
        <v>77.37</v>
      </c>
      <c r="T248" t="s">
        <v>102</v>
      </c>
      <c r="U248" t="s">
        <v>68</v>
      </c>
      <c r="V248">
        <f>IF(OR(B248="Invalid Date",C248="Invalid Date"),"Invalid Date",C248-B248)</f>
        <v>5</v>
      </c>
      <c r="W248" s="4" t="str">
        <f>IF(OR(B248="Invalid Date",C248="Invalid Date"),"Invalid Date",IF(C248&lt;B248,"Invalid Shipping","OK"))</f>
        <v>OK</v>
      </c>
      <c r="X248">
        <f t="shared" si="24"/>
        <v>1</v>
      </c>
      <c r="Y248">
        <f t="shared" si="25"/>
        <v>0.25</v>
      </c>
      <c r="Z248">
        <f t="shared" si="26"/>
        <v>521.88749999999993</v>
      </c>
      <c r="AA248">
        <f t="shared" si="27"/>
        <v>77.36749999999995</v>
      </c>
      <c r="AB248" s="6">
        <f t="shared" si="28"/>
        <v>0.14824555100476627</v>
      </c>
      <c r="AC248" t="str">
        <f t="shared" si="29"/>
        <v>May</v>
      </c>
      <c r="AD248">
        <f t="shared" si="30"/>
        <v>2024</v>
      </c>
      <c r="AE248" t="str">
        <f t="shared" si="31"/>
        <v>Clean</v>
      </c>
    </row>
    <row r="249" spans="1:31">
      <c r="A249" t="s">
        <v>849</v>
      </c>
      <c r="B249" s="3" t="s">
        <v>2763</v>
      </c>
      <c r="C249" s="3">
        <v>45505</v>
      </c>
      <c r="D249" t="s">
        <v>850</v>
      </c>
      <c r="E249" t="s">
        <v>118</v>
      </c>
      <c r="F249" t="s">
        <v>90</v>
      </c>
      <c r="G249" t="s">
        <v>25</v>
      </c>
      <c r="H249" t="s">
        <v>26</v>
      </c>
      <c r="I249" t="s">
        <v>27</v>
      </c>
      <c r="J249" t="s">
        <v>74</v>
      </c>
      <c r="K249" t="s">
        <v>75</v>
      </c>
      <c r="L249" t="s">
        <v>851</v>
      </c>
      <c r="M249" t="s">
        <v>31</v>
      </c>
      <c r="N249">
        <v>8</v>
      </c>
      <c r="O249">
        <v>2493.4</v>
      </c>
      <c r="P249">
        <v>0.25</v>
      </c>
      <c r="Q249">
        <v>14960.4</v>
      </c>
      <c r="R249">
        <v>12500.84</v>
      </c>
      <c r="S249">
        <v>2459.56</v>
      </c>
      <c r="T249" t="s">
        <v>32</v>
      </c>
      <c r="U249" t="s">
        <v>33</v>
      </c>
      <c r="V249" t="str">
        <f>IF(OR(B249="Invalid Date",C249="Invalid Date"),"Invalid Date",C249-B249)</f>
        <v>Invalid Date</v>
      </c>
      <c r="W249" s="4" t="str">
        <f>IF(OR(B249="Invalid Date",C249="Invalid Date"),"Invalid Date",IF(C249&lt;B249,"Invalid Shipping","OK"))</f>
        <v>Invalid Date</v>
      </c>
      <c r="X249">
        <f t="shared" si="24"/>
        <v>1</v>
      </c>
      <c r="Y249">
        <f t="shared" si="25"/>
        <v>0.25</v>
      </c>
      <c r="Z249">
        <f t="shared" si="26"/>
        <v>14960.400000000001</v>
      </c>
      <c r="AA249">
        <f t="shared" si="27"/>
        <v>2459.5600000000013</v>
      </c>
      <c r="AB249" s="6">
        <f t="shared" si="28"/>
        <v>0.16440469506162944</v>
      </c>
      <c r="AC249" t="str">
        <f t="shared" si="29"/>
        <v/>
      </c>
      <c r="AD249" t="str">
        <f t="shared" si="30"/>
        <v/>
      </c>
      <c r="AE249" t="str">
        <f t="shared" si="31"/>
        <v>Invalid</v>
      </c>
    </row>
    <row r="250" spans="1:31">
      <c r="A250" t="s">
        <v>852</v>
      </c>
      <c r="B250" s="3">
        <v>45328</v>
      </c>
      <c r="C250" s="3">
        <v>45450</v>
      </c>
      <c r="D250" t="s">
        <v>853</v>
      </c>
      <c r="E250" t="s">
        <v>141</v>
      </c>
      <c r="F250" t="s">
        <v>95</v>
      </c>
      <c r="G250" t="s">
        <v>38</v>
      </c>
      <c r="H250" t="s">
        <v>39</v>
      </c>
      <c r="I250" t="s">
        <v>40</v>
      </c>
      <c r="J250" t="s">
        <v>28</v>
      </c>
      <c r="K250" t="s">
        <v>91</v>
      </c>
      <c r="L250" t="s">
        <v>854</v>
      </c>
      <c r="M250" t="s">
        <v>31</v>
      </c>
      <c r="N250">
        <v>9</v>
      </c>
      <c r="O250">
        <v>787.91</v>
      </c>
      <c r="P250">
        <v>0.15</v>
      </c>
      <c r="Q250">
        <v>6027.51</v>
      </c>
      <c r="R250">
        <v>4883.82</v>
      </c>
      <c r="S250">
        <v>1143.69</v>
      </c>
      <c r="T250" t="s">
        <v>32</v>
      </c>
      <c r="U250" t="s">
        <v>33</v>
      </c>
      <c r="V250">
        <f>IF(OR(B250="Invalid Date",C250="Invalid Date"),"Invalid Date",C250-B250)</f>
        <v>122</v>
      </c>
      <c r="W250" s="4" t="str">
        <f>IF(OR(B250="Invalid Date",C250="Invalid Date"),"Invalid Date",IF(C250&lt;B250,"Invalid Shipping","OK"))</f>
        <v>OK</v>
      </c>
      <c r="X250">
        <f t="shared" si="24"/>
        <v>1</v>
      </c>
      <c r="Y250">
        <f t="shared" si="25"/>
        <v>0.15</v>
      </c>
      <c r="Z250">
        <f t="shared" si="26"/>
        <v>6027.5114999999996</v>
      </c>
      <c r="AA250">
        <f t="shared" si="27"/>
        <v>1143.6914999999999</v>
      </c>
      <c r="AB250" s="6">
        <f t="shared" si="28"/>
        <v>0.18974522072666306</v>
      </c>
      <c r="AC250" t="str">
        <f t="shared" si="29"/>
        <v>February</v>
      </c>
      <c r="AD250">
        <f t="shared" si="30"/>
        <v>2024</v>
      </c>
      <c r="AE250" t="str">
        <f t="shared" si="31"/>
        <v>Clean</v>
      </c>
    </row>
    <row r="251" spans="1:31">
      <c r="A251" t="s">
        <v>855</v>
      </c>
      <c r="B251" s="3">
        <v>45665</v>
      </c>
      <c r="C251" s="3">
        <v>45696</v>
      </c>
      <c r="D251" t="s">
        <v>856</v>
      </c>
      <c r="E251" t="s">
        <v>36</v>
      </c>
      <c r="F251" t="s">
        <v>90</v>
      </c>
      <c r="G251" t="s">
        <v>25</v>
      </c>
      <c r="H251" t="s">
        <v>26</v>
      </c>
      <c r="I251" t="s">
        <v>27</v>
      </c>
      <c r="J251" t="s">
        <v>41</v>
      </c>
      <c r="K251" t="s">
        <v>57</v>
      </c>
      <c r="L251" t="s">
        <v>857</v>
      </c>
      <c r="M251" t="s">
        <v>50</v>
      </c>
      <c r="N251">
        <v>4</v>
      </c>
      <c r="O251">
        <v>2790.29</v>
      </c>
      <c r="P251">
        <v>0.2</v>
      </c>
      <c r="Q251">
        <v>8928.93</v>
      </c>
      <c r="R251">
        <v>5634.38</v>
      </c>
      <c r="S251">
        <v>3294.55</v>
      </c>
      <c r="T251" t="s">
        <v>32</v>
      </c>
      <c r="U251" t="s">
        <v>33</v>
      </c>
      <c r="V251">
        <f>IF(OR(B251="Invalid Date",C251="Invalid Date"),"Invalid Date",C251-B251)</f>
        <v>31</v>
      </c>
      <c r="W251" s="4" t="str">
        <f>IF(OR(B251="Invalid Date",C251="Invalid Date"),"Invalid Date",IF(C251&lt;B251,"Invalid Shipping","OK"))</f>
        <v>OK</v>
      </c>
      <c r="X251">
        <f t="shared" si="24"/>
        <v>1</v>
      </c>
      <c r="Y251">
        <f t="shared" si="25"/>
        <v>0.2</v>
      </c>
      <c r="Z251">
        <f t="shared" si="26"/>
        <v>8928.9279999999999</v>
      </c>
      <c r="AA251">
        <f t="shared" si="27"/>
        <v>3294.5479999999998</v>
      </c>
      <c r="AB251" s="6">
        <f t="shared" si="28"/>
        <v>0.36897464062875185</v>
      </c>
      <c r="AC251" t="str">
        <f t="shared" si="29"/>
        <v>January</v>
      </c>
      <c r="AD251">
        <f t="shared" si="30"/>
        <v>2025</v>
      </c>
      <c r="AE251" t="str">
        <f t="shared" si="31"/>
        <v>Clean</v>
      </c>
    </row>
    <row r="252" spans="1:31">
      <c r="A252" t="s">
        <v>858</v>
      </c>
      <c r="B252" s="3" t="s">
        <v>2763</v>
      </c>
      <c r="C252" s="3" t="s">
        <v>2763</v>
      </c>
      <c r="D252" t="s">
        <v>859</v>
      </c>
      <c r="E252" t="s">
        <v>53</v>
      </c>
      <c r="F252" t="s">
        <v>37</v>
      </c>
      <c r="G252" t="s">
        <v>38</v>
      </c>
      <c r="H252" t="s">
        <v>99</v>
      </c>
      <c r="I252" t="s">
        <v>100</v>
      </c>
      <c r="J252" t="s">
        <v>41</v>
      </c>
      <c r="K252" t="s">
        <v>57</v>
      </c>
      <c r="L252" t="s">
        <v>860</v>
      </c>
      <c r="M252" t="s">
        <v>59</v>
      </c>
      <c r="N252">
        <v>5</v>
      </c>
      <c r="O252">
        <v>3373.86</v>
      </c>
      <c r="P252">
        <v>0.15</v>
      </c>
      <c r="Q252">
        <v>14338.9</v>
      </c>
      <c r="R252">
        <v>11897.65</v>
      </c>
      <c r="S252">
        <v>2441.25</v>
      </c>
      <c r="T252" t="s">
        <v>111</v>
      </c>
      <c r="U252" t="s">
        <v>103</v>
      </c>
      <c r="V252" t="str">
        <f>IF(OR(B252="Invalid Date",C252="Invalid Date"),"Invalid Date",C252-B252)</f>
        <v>Invalid Date</v>
      </c>
      <c r="W252" s="4" t="str">
        <f>IF(OR(B252="Invalid Date",C252="Invalid Date"),"Invalid Date",IF(C252&lt;B252,"Invalid Shipping","OK"))</f>
        <v>Invalid Date</v>
      </c>
      <c r="X252">
        <f t="shared" si="24"/>
        <v>1</v>
      </c>
      <c r="Y252">
        <f t="shared" si="25"/>
        <v>0.15</v>
      </c>
      <c r="Z252">
        <f t="shared" si="26"/>
        <v>14338.904999999999</v>
      </c>
      <c r="AA252">
        <f t="shared" si="27"/>
        <v>2441.2549999999992</v>
      </c>
      <c r="AB252" s="6">
        <f t="shared" si="28"/>
        <v>0.17025393501107647</v>
      </c>
      <c r="AC252" t="str">
        <f t="shared" si="29"/>
        <v/>
      </c>
      <c r="AD252" t="str">
        <f t="shared" si="30"/>
        <v/>
      </c>
      <c r="AE252" t="str">
        <f t="shared" si="31"/>
        <v>Invalid</v>
      </c>
    </row>
    <row r="253" spans="1:31">
      <c r="A253" t="s">
        <v>861</v>
      </c>
      <c r="B253" s="3">
        <v>45753</v>
      </c>
      <c r="C253" s="3">
        <v>45934</v>
      </c>
      <c r="D253" t="s">
        <v>862</v>
      </c>
      <c r="E253" t="s">
        <v>62</v>
      </c>
      <c r="F253" t="s">
        <v>90</v>
      </c>
      <c r="G253" t="s">
        <v>63</v>
      </c>
      <c r="H253" t="s">
        <v>180</v>
      </c>
      <c r="I253" t="s">
        <v>181</v>
      </c>
      <c r="J253" t="s">
        <v>41</v>
      </c>
      <c r="K253" t="s">
        <v>42</v>
      </c>
      <c r="L253" t="s">
        <v>863</v>
      </c>
      <c r="M253" t="s">
        <v>31</v>
      </c>
      <c r="N253">
        <v>6</v>
      </c>
      <c r="O253">
        <v>1022.16</v>
      </c>
      <c r="P253">
        <v>0</v>
      </c>
      <c r="Q253">
        <v>6132.96</v>
      </c>
      <c r="R253">
        <v>4881.1000000000004</v>
      </c>
      <c r="S253">
        <v>1251.8599999999999</v>
      </c>
      <c r="T253" t="s">
        <v>32</v>
      </c>
      <c r="U253" t="s">
        <v>33</v>
      </c>
      <c r="V253">
        <f>IF(OR(B253="Invalid Date",C253="Invalid Date"),"Invalid Date",C253-B253)</f>
        <v>181</v>
      </c>
      <c r="W253" s="4" t="str">
        <f>IF(OR(B253="Invalid Date",C253="Invalid Date"),"Invalid Date",IF(C253&lt;B253,"Invalid Shipping","OK"))</f>
        <v>OK</v>
      </c>
      <c r="X253">
        <f t="shared" si="24"/>
        <v>1</v>
      </c>
      <c r="Y253">
        <f t="shared" si="25"/>
        <v>0</v>
      </c>
      <c r="Z253">
        <f t="shared" si="26"/>
        <v>6132.96</v>
      </c>
      <c r="AA253">
        <f t="shared" si="27"/>
        <v>1251.8599999999997</v>
      </c>
      <c r="AB253" s="6">
        <f t="shared" si="28"/>
        <v>0.20412003339333692</v>
      </c>
      <c r="AC253" t="str">
        <f t="shared" si="29"/>
        <v>April</v>
      </c>
      <c r="AD253">
        <f t="shared" si="30"/>
        <v>2025</v>
      </c>
      <c r="AE253" t="str">
        <f t="shared" si="31"/>
        <v>Clean</v>
      </c>
    </row>
    <row r="254" spans="1:31">
      <c r="A254" t="s">
        <v>864</v>
      </c>
      <c r="B254" s="3">
        <v>45833</v>
      </c>
      <c r="C254" s="3">
        <v>45836</v>
      </c>
      <c r="D254" t="s">
        <v>865</v>
      </c>
      <c r="E254" t="s">
        <v>53</v>
      </c>
      <c r="F254" t="s">
        <v>90</v>
      </c>
      <c r="G254" t="s">
        <v>25</v>
      </c>
      <c r="H254" t="s">
        <v>236</v>
      </c>
      <c r="I254" t="s">
        <v>237</v>
      </c>
      <c r="J254" t="s">
        <v>28</v>
      </c>
      <c r="K254" t="s">
        <v>124</v>
      </c>
      <c r="L254" t="s">
        <v>866</v>
      </c>
      <c r="M254" t="s">
        <v>50</v>
      </c>
      <c r="N254">
        <v>2</v>
      </c>
      <c r="O254">
        <v>1455.92</v>
      </c>
      <c r="P254">
        <v>0.2</v>
      </c>
      <c r="Q254">
        <v>2329.4699999999998</v>
      </c>
      <c r="R254">
        <v>1603.62</v>
      </c>
      <c r="S254">
        <v>725.85</v>
      </c>
      <c r="T254" t="s">
        <v>111</v>
      </c>
      <c r="U254" t="s">
        <v>103</v>
      </c>
      <c r="V254">
        <f>IF(OR(B254="Invalid Date",C254="Invalid Date"),"Invalid Date",C254-B254)</f>
        <v>3</v>
      </c>
      <c r="W254" s="4" t="str">
        <f>IF(OR(B254="Invalid Date",C254="Invalid Date"),"Invalid Date",IF(C254&lt;B254,"Invalid Shipping","OK"))</f>
        <v>OK</v>
      </c>
      <c r="X254">
        <f t="shared" si="24"/>
        <v>1</v>
      </c>
      <c r="Y254">
        <f t="shared" si="25"/>
        <v>0.2</v>
      </c>
      <c r="Z254">
        <f t="shared" si="26"/>
        <v>2329.4720000000002</v>
      </c>
      <c r="AA254">
        <f t="shared" si="27"/>
        <v>725.85200000000032</v>
      </c>
      <c r="AB254" s="6">
        <f t="shared" si="28"/>
        <v>0.31159507390515973</v>
      </c>
      <c r="AC254" t="str">
        <f t="shared" si="29"/>
        <v>June</v>
      </c>
      <c r="AD254">
        <f t="shared" si="30"/>
        <v>2025</v>
      </c>
      <c r="AE254" t="str">
        <f t="shared" si="31"/>
        <v>Clean</v>
      </c>
    </row>
    <row r="255" spans="1:31">
      <c r="A255" t="s">
        <v>867</v>
      </c>
      <c r="B255" s="3">
        <v>45547</v>
      </c>
      <c r="C255" s="3" t="s">
        <v>2763</v>
      </c>
      <c r="D255" t="s">
        <v>868</v>
      </c>
      <c r="E255" t="s">
        <v>114</v>
      </c>
      <c r="F255" t="s">
        <v>37</v>
      </c>
      <c r="G255" t="s">
        <v>25</v>
      </c>
      <c r="H255" t="s">
        <v>26</v>
      </c>
      <c r="I255" t="s">
        <v>27</v>
      </c>
      <c r="J255" t="s">
        <v>74</v>
      </c>
      <c r="K255" t="s">
        <v>171</v>
      </c>
      <c r="L255" t="s">
        <v>869</v>
      </c>
      <c r="M255" t="s">
        <v>44</v>
      </c>
      <c r="N255">
        <v>6</v>
      </c>
      <c r="O255">
        <v>832.79</v>
      </c>
      <c r="P255">
        <v>0.05</v>
      </c>
      <c r="Q255">
        <v>4746.8999999999996</v>
      </c>
      <c r="R255">
        <v>2825.38</v>
      </c>
      <c r="S255">
        <v>1472.89</v>
      </c>
      <c r="T255" t="s">
        <v>102</v>
      </c>
      <c r="U255" t="s">
        <v>68</v>
      </c>
      <c r="V255" t="str">
        <f>IF(OR(B255="Invalid Date",C255="Invalid Date"),"Invalid Date",C255-B255)</f>
        <v>Invalid Date</v>
      </c>
      <c r="W255" s="4" t="str">
        <f>IF(OR(B255="Invalid Date",C255="Invalid Date"),"Invalid Date",IF(C255&lt;B255,"Invalid Shipping","OK"))</f>
        <v>Invalid Date</v>
      </c>
      <c r="X255">
        <f t="shared" si="24"/>
        <v>1</v>
      </c>
      <c r="Y255">
        <f t="shared" si="25"/>
        <v>0.05</v>
      </c>
      <c r="Z255">
        <f t="shared" si="26"/>
        <v>4746.9029999999993</v>
      </c>
      <c r="AA255">
        <f t="shared" si="27"/>
        <v>1921.5229999999992</v>
      </c>
      <c r="AB255" s="6">
        <f t="shared" si="28"/>
        <v>0.40479508428969363</v>
      </c>
      <c r="AC255" t="str">
        <f t="shared" si="29"/>
        <v>September</v>
      </c>
      <c r="AD255">
        <f t="shared" si="30"/>
        <v>2024</v>
      </c>
      <c r="AE255" t="str">
        <f t="shared" si="31"/>
        <v>Invalid</v>
      </c>
    </row>
    <row r="256" spans="1:31">
      <c r="A256" t="s">
        <v>870</v>
      </c>
      <c r="B256" s="3">
        <v>45658</v>
      </c>
      <c r="C256" s="3">
        <v>45660</v>
      </c>
      <c r="D256" t="s">
        <v>871</v>
      </c>
      <c r="E256" t="s">
        <v>62</v>
      </c>
      <c r="F256" t="s">
        <v>24</v>
      </c>
      <c r="G256" t="s">
        <v>63</v>
      </c>
      <c r="H256" t="s">
        <v>72</v>
      </c>
      <c r="I256" t="s">
        <v>73</v>
      </c>
      <c r="J256" t="s">
        <v>74</v>
      </c>
      <c r="K256" t="s">
        <v>75</v>
      </c>
      <c r="L256" t="s">
        <v>872</v>
      </c>
      <c r="M256" t="s">
        <v>44</v>
      </c>
      <c r="N256">
        <v>7</v>
      </c>
      <c r="O256">
        <v>1000.55</v>
      </c>
      <c r="P256">
        <v>0.2</v>
      </c>
      <c r="Q256">
        <v>5603.08</v>
      </c>
      <c r="R256">
        <v>3132.52</v>
      </c>
      <c r="S256">
        <v>2470.56</v>
      </c>
      <c r="T256" t="s">
        <v>32</v>
      </c>
      <c r="U256" t="s">
        <v>103</v>
      </c>
      <c r="V256">
        <f>IF(OR(B256="Invalid Date",C256="Invalid Date"),"Invalid Date",C256-B256)</f>
        <v>2</v>
      </c>
      <c r="W256" s="4" t="str">
        <f>IF(OR(B256="Invalid Date",C256="Invalid Date"),"Invalid Date",IF(C256&lt;B256,"Invalid Shipping","OK"))</f>
        <v>OK</v>
      </c>
      <c r="X256">
        <f t="shared" si="24"/>
        <v>1</v>
      </c>
      <c r="Y256">
        <f t="shared" si="25"/>
        <v>0.2</v>
      </c>
      <c r="Z256">
        <f t="shared" si="26"/>
        <v>5603.08</v>
      </c>
      <c r="AA256">
        <f t="shared" si="27"/>
        <v>2470.56</v>
      </c>
      <c r="AB256" s="6">
        <f t="shared" si="28"/>
        <v>0.44092891766671188</v>
      </c>
      <c r="AC256" t="str">
        <f t="shared" si="29"/>
        <v>January</v>
      </c>
      <c r="AD256">
        <f t="shared" si="30"/>
        <v>2025</v>
      </c>
      <c r="AE256" t="str">
        <f t="shared" si="31"/>
        <v>Clean</v>
      </c>
    </row>
    <row r="257" spans="1:31">
      <c r="A257" t="s">
        <v>873</v>
      </c>
      <c r="B257" s="3">
        <v>45692</v>
      </c>
      <c r="C257" s="3">
        <v>45932</v>
      </c>
      <c r="D257" t="s">
        <v>874</v>
      </c>
      <c r="E257" t="s">
        <v>47</v>
      </c>
      <c r="F257" t="s">
        <v>90</v>
      </c>
      <c r="G257" t="s">
        <v>63</v>
      </c>
      <c r="H257" t="s">
        <v>64</v>
      </c>
      <c r="I257" t="s">
        <v>65</v>
      </c>
      <c r="J257" t="s">
        <v>74</v>
      </c>
      <c r="K257" t="s">
        <v>171</v>
      </c>
      <c r="L257" t="s">
        <v>875</v>
      </c>
      <c r="M257" t="s">
        <v>50</v>
      </c>
      <c r="N257">
        <v>7</v>
      </c>
      <c r="O257">
        <v>1830</v>
      </c>
      <c r="P257">
        <v>0</v>
      </c>
      <c r="Q257">
        <v>12810</v>
      </c>
      <c r="R257">
        <v>9334.1200000000008</v>
      </c>
      <c r="S257">
        <v>3475.88</v>
      </c>
      <c r="T257" t="s">
        <v>32</v>
      </c>
      <c r="U257" t="s">
        <v>33</v>
      </c>
      <c r="V257">
        <f>IF(OR(B257="Invalid Date",C257="Invalid Date"),"Invalid Date",C257-B257)</f>
        <v>240</v>
      </c>
      <c r="W257" s="4" t="str">
        <f>IF(OR(B257="Invalid Date",C257="Invalid Date"),"Invalid Date",IF(C257&lt;B257,"Invalid Shipping","OK"))</f>
        <v>OK</v>
      </c>
      <c r="X257">
        <f t="shared" si="24"/>
        <v>1</v>
      </c>
      <c r="Y257">
        <f t="shared" si="25"/>
        <v>0</v>
      </c>
      <c r="Z257">
        <f t="shared" si="26"/>
        <v>12810</v>
      </c>
      <c r="AA257">
        <f t="shared" si="27"/>
        <v>3475.8799999999992</v>
      </c>
      <c r="AB257" s="6">
        <f t="shared" si="28"/>
        <v>0.27134113973458229</v>
      </c>
      <c r="AC257" t="str">
        <f t="shared" si="29"/>
        <v>February</v>
      </c>
      <c r="AD257">
        <f t="shared" si="30"/>
        <v>2025</v>
      </c>
      <c r="AE257" t="str">
        <f t="shared" si="31"/>
        <v>Clean</v>
      </c>
    </row>
    <row r="258" spans="1:31">
      <c r="A258" t="s">
        <v>876</v>
      </c>
      <c r="B258" s="3">
        <v>45601</v>
      </c>
      <c r="C258" s="3">
        <v>45599</v>
      </c>
      <c r="D258" t="s">
        <v>877</v>
      </c>
      <c r="E258" t="s">
        <v>62</v>
      </c>
      <c r="F258" t="s">
        <v>24</v>
      </c>
      <c r="G258" t="s">
        <v>38</v>
      </c>
      <c r="H258" t="s">
        <v>99</v>
      </c>
      <c r="I258" t="s">
        <v>100</v>
      </c>
      <c r="J258" t="s">
        <v>41</v>
      </c>
      <c r="K258" t="s">
        <v>42</v>
      </c>
      <c r="L258" t="s">
        <v>878</v>
      </c>
      <c r="M258" t="s">
        <v>50</v>
      </c>
      <c r="N258">
        <v>9</v>
      </c>
      <c r="O258">
        <v>2260.61</v>
      </c>
      <c r="P258">
        <v>0.05</v>
      </c>
      <c r="Q258">
        <v>19328.22</v>
      </c>
      <c r="R258">
        <v>12039.5</v>
      </c>
      <c r="S258">
        <v>7288.72</v>
      </c>
      <c r="T258" t="s">
        <v>32</v>
      </c>
      <c r="U258" t="s">
        <v>33</v>
      </c>
      <c r="V258">
        <f>IF(OR(B258="Invalid Date",C258="Invalid Date"),"Invalid Date",C258-B258)</f>
        <v>-2</v>
      </c>
      <c r="W258" s="4" t="str">
        <f>IF(OR(B258="Invalid Date",C258="Invalid Date"),"Invalid Date",IF(C258&lt;B258,"Invalid Shipping","OK"))</f>
        <v>Invalid Shipping</v>
      </c>
      <c r="X258">
        <f t="shared" si="24"/>
        <v>1</v>
      </c>
      <c r="Y258">
        <f t="shared" si="25"/>
        <v>0.05</v>
      </c>
      <c r="Z258">
        <f t="shared" si="26"/>
        <v>19328.215500000002</v>
      </c>
      <c r="AA258">
        <f t="shared" si="27"/>
        <v>7288.7155000000021</v>
      </c>
      <c r="AB258" s="6">
        <f t="shared" si="28"/>
        <v>0.3771023507058891</v>
      </c>
      <c r="AC258" t="str">
        <f t="shared" si="29"/>
        <v>November</v>
      </c>
      <c r="AD258">
        <f t="shared" si="30"/>
        <v>2024</v>
      </c>
      <c r="AE258" t="str">
        <f t="shared" si="31"/>
        <v>Invalid</v>
      </c>
    </row>
    <row r="259" spans="1:31">
      <c r="A259" t="s">
        <v>879</v>
      </c>
      <c r="B259" s="3">
        <v>45878</v>
      </c>
      <c r="C259" s="3">
        <v>45881</v>
      </c>
      <c r="D259" t="s">
        <v>880</v>
      </c>
      <c r="E259" t="s">
        <v>162</v>
      </c>
      <c r="F259" t="s">
        <v>90</v>
      </c>
      <c r="G259" t="s">
        <v>54</v>
      </c>
      <c r="H259" t="s">
        <v>175</v>
      </c>
      <c r="I259" t="s">
        <v>176</v>
      </c>
      <c r="J259" t="s">
        <v>74</v>
      </c>
      <c r="K259" t="s">
        <v>75</v>
      </c>
      <c r="L259" t="s">
        <v>881</v>
      </c>
      <c r="M259" t="s">
        <v>31</v>
      </c>
      <c r="N259">
        <v>2</v>
      </c>
      <c r="O259">
        <v>3237.27</v>
      </c>
      <c r="P259">
        <v>0</v>
      </c>
      <c r="Q259">
        <v>6474.54</v>
      </c>
      <c r="R259">
        <v>5095.91</v>
      </c>
      <c r="S259">
        <v>1378.63</v>
      </c>
      <c r="T259" t="s">
        <v>32</v>
      </c>
      <c r="U259" t="s">
        <v>68</v>
      </c>
      <c r="V259">
        <f>IF(OR(B259="Invalid Date",C259="Invalid Date"),"Invalid Date",C259-B259)</f>
        <v>3</v>
      </c>
      <c r="W259" s="4" t="str">
        <f>IF(OR(B259="Invalid Date",C259="Invalid Date"),"Invalid Date",IF(C259&lt;B259,"Invalid Shipping","OK"))</f>
        <v>OK</v>
      </c>
      <c r="X259">
        <f t="shared" ref="X259:X322" si="32">COUNTIF($A:$A,A259)</f>
        <v>1</v>
      </c>
      <c r="Y259">
        <f t="shared" ref="Y259:Y322" si="33">IF(P259="",0,IF(OR(P259&lt;0,P259&gt;1),"Invalid",P259))</f>
        <v>0</v>
      </c>
      <c r="Z259">
        <f t="shared" ref="Z259:Z322" si="34">IF(ISTEXT(Y259),"",N259*O259*(1-Y259))</f>
        <v>6474.54</v>
      </c>
      <c r="AA259">
        <f t="shared" ref="AA259:AA322" si="35">IF(Z259="","",Z259-R259)</f>
        <v>1378.63</v>
      </c>
      <c r="AB259" s="6">
        <f t="shared" ref="AB259:AB322" si="36">IF(OR(Z259="",Z259=0),"",AA259/Z259)</f>
        <v>0.21293095725719513</v>
      </c>
      <c r="AC259" t="str">
        <f t="shared" ref="AC259:AC322" si="37">IF(ISNUMBER(B259),TEXT(B259,"mmmm"),"")</f>
        <v>August</v>
      </c>
      <c r="AD259">
        <f t="shared" ref="AD259:AD322" si="38">IF(ISNUMBER(B259),YEAR(B259),"")</f>
        <v>2025</v>
      </c>
      <c r="AE259" t="str">
        <f t="shared" ref="AE259:AE322" si="39">IF(OR(B259="Invalid Date",C259="Invalid Date",W259="Invalid Date",W259="Invalid Shipping",Y259="Invalid"),"Invalid",IF(OR(G259="Unknown",M259="Unknown"),"Warning","Clean"))</f>
        <v>Clean</v>
      </c>
    </row>
    <row r="260" spans="1:31">
      <c r="A260" t="s">
        <v>882</v>
      </c>
      <c r="B260" s="3">
        <v>45656</v>
      </c>
      <c r="C260" s="3">
        <v>45661</v>
      </c>
      <c r="D260" t="s">
        <v>883</v>
      </c>
      <c r="E260" t="s">
        <v>132</v>
      </c>
      <c r="F260" t="s">
        <v>90</v>
      </c>
      <c r="G260" t="s">
        <v>54</v>
      </c>
      <c r="H260" t="s">
        <v>247</v>
      </c>
      <c r="I260" t="s">
        <v>248</v>
      </c>
      <c r="J260" t="s">
        <v>41</v>
      </c>
      <c r="K260" t="s">
        <v>42</v>
      </c>
      <c r="L260" t="s">
        <v>884</v>
      </c>
      <c r="M260" t="s">
        <v>44</v>
      </c>
      <c r="N260">
        <v>2</v>
      </c>
      <c r="O260">
        <v>3720.07</v>
      </c>
      <c r="P260">
        <v>0.25</v>
      </c>
      <c r="Q260">
        <v>5580.11</v>
      </c>
      <c r="R260">
        <v>4307.01</v>
      </c>
      <c r="S260">
        <v>1273.0999999999999</v>
      </c>
      <c r="T260" t="s">
        <v>32</v>
      </c>
      <c r="U260" t="s">
        <v>33</v>
      </c>
      <c r="V260">
        <f>IF(OR(B260="Invalid Date",C260="Invalid Date"),"Invalid Date",C260-B260)</f>
        <v>5</v>
      </c>
      <c r="W260" s="4" t="str">
        <f>IF(OR(B260="Invalid Date",C260="Invalid Date"),"Invalid Date",IF(C260&lt;B260,"Invalid Shipping","OK"))</f>
        <v>OK</v>
      </c>
      <c r="X260">
        <f t="shared" si="32"/>
        <v>1</v>
      </c>
      <c r="Y260">
        <f t="shared" si="33"/>
        <v>0.25</v>
      </c>
      <c r="Z260">
        <f t="shared" si="34"/>
        <v>5580.1050000000005</v>
      </c>
      <c r="AA260">
        <f t="shared" si="35"/>
        <v>1273.0950000000003</v>
      </c>
      <c r="AB260" s="6">
        <f t="shared" si="36"/>
        <v>0.22814893268137429</v>
      </c>
      <c r="AC260" t="str">
        <f t="shared" si="37"/>
        <v>December</v>
      </c>
      <c r="AD260">
        <f t="shared" si="38"/>
        <v>2024</v>
      </c>
      <c r="AE260" t="str">
        <f t="shared" si="39"/>
        <v>Clean</v>
      </c>
    </row>
    <row r="261" spans="1:31">
      <c r="A261" t="s">
        <v>885</v>
      </c>
      <c r="B261" s="3" t="s">
        <v>2763</v>
      </c>
      <c r="C261" s="3">
        <v>45472</v>
      </c>
      <c r="D261" t="s">
        <v>886</v>
      </c>
      <c r="E261" t="s">
        <v>79</v>
      </c>
      <c r="F261" t="s">
        <v>24</v>
      </c>
      <c r="G261" t="s">
        <v>54</v>
      </c>
      <c r="H261" t="s">
        <v>247</v>
      </c>
      <c r="I261" t="s">
        <v>248</v>
      </c>
      <c r="J261" t="s">
        <v>74</v>
      </c>
      <c r="K261" t="s">
        <v>274</v>
      </c>
      <c r="L261" t="s">
        <v>887</v>
      </c>
      <c r="M261" t="s">
        <v>59</v>
      </c>
      <c r="N261">
        <v>8</v>
      </c>
      <c r="O261">
        <v>2853.92</v>
      </c>
      <c r="P261">
        <v>0.2</v>
      </c>
      <c r="Q261">
        <v>18265.09</v>
      </c>
      <c r="R261">
        <v>10437.14</v>
      </c>
      <c r="S261">
        <v>7827.95</v>
      </c>
      <c r="T261" t="s">
        <v>32</v>
      </c>
      <c r="U261" t="s">
        <v>33</v>
      </c>
      <c r="V261" t="str">
        <f>IF(OR(B261="Invalid Date",C261="Invalid Date"),"Invalid Date",C261-B261)</f>
        <v>Invalid Date</v>
      </c>
      <c r="W261" s="4" t="str">
        <f>IF(OR(B261="Invalid Date",C261="Invalid Date"),"Invalid Date",IF(C261&lt;B261,"Invalid Shipping","OK"))</f>
        <v>Invalid Date</v>
      </c>
      <c r="X261">
        <f t="shared" si="32"/>
        <v>1</v>
      </c>
      <c r="Y261">
        <f t="shared" si="33"/>
        <v>0.2</v>
      </c>
      <c r="Z261">
        <f t="shared" si="34"/>
        <v>18265.088</v>
      </c>
      <c r="AA261">
        <f t="shared" si="35"/>
        <v>7827.9480000000003</v>
      </c>
      <c r="AB261" s="6">
        <f t="shared" si="36"/>
        <v>0.42857433810338064</v>
      </c>
      <c r="AC261" t="str">
        <f t="shared" si="37"/>
        <v/>
      </c>
      <c r="AD261" t="str">
        <f t="shared" si="38"/>
        <v/>
      </c>
      <c r="AE261" t="str">
        <f t="shared" si="39"/>
        <v>Invalid</v>
      </c>
    </row>
    <row r="262" spans="1:31">
      <c r="A262" t="s">
        <v>888</v>
      </c>
      <c r="B262" s="3">
        <v>45923</v>
      </c>
      <c r="C262" s="3" t="s">
        <v>2763</v>
      </c>
      <c r="D262" t="s">
        <v>889</v>
      </c>
      <c r="E262" t="s">
        <v>89</v>
      </c>
      <c r="F262" t="s">
        <v>90</v>
      </c>
      <c r="G262" t="s">
        <v>38</v>
      </c>
      <c r="H262" t="s">
        <v>99</v>
      </c>
      <c r="I262" t="s">
        <v>100</v>
      </c>
      <c r="J262" t="s">
        <v>28</v>
      </c>
      <c r="K262" t="s">
        <v>153</v>
      </c>
      <c r="L262" t="s">
        <v>890</v>
      </c>
      <c r="M262" t="s">
        <v>44</v>
      </c>
      <c r="N262">
        <v>7</v>
      </c>
      <c r="O262">
        <v>2897.12</v>
      </c>
      <c r="P262">
        <v>0.25</v>
      </c>
      <c r="Q262">
        <v>15209.88</v>
      </c>
      <c r="R262">
        <v>10891.15</v>
      </c>
      <c r="S262">
        <v>4318.7299999999996</v>
      </c>
      <c r="T262" t="s">
        <v>155</v>
      </c>
      <c r="U262" t="s">
        <v>103</v>
      </c>
      <c r="V262" t="str">
        <f>IF(OR(B262="Invalid Date",C262="Invalid Date"),"Invalid Date",C262-B262)</f>
        <v>Invalid Date</v>
      </c>
      <c r="W262" s="4" t="str">
        <f>IF(OR(B262="Invalid Date",C262="Invalid Date"),"Invalid Date",IF(C262&lt;B262,"Invalid Shipping","OK"))</f>
        <v>Invalid Date</v>
      </c>
      <c r="X262">
        <f t="shared" si="32"/>
        <v>1</v>
      </c>
      <c r="Y262">
        <f t="shared" si="33"/>
        <v>0.25</v>
      </c>
      <c r="Z262">
        <f t="shared" si="34"/>
        <v>15209.880000000001</v>
      </c>
      <c r="AA262">
        <f t="shared" si="35"/>
        <v>4318.7300000000014</v>
      </c>
      <c r="AB262" s="6">
        <f t="shared" si="36"/>
        <v>0.28394241111698454</v>
      </c>
      <c r="AC262" t="str">
        <f t="shared" si="37"/>
        <v>September</v>
      </c>
      <c r="AD262">
        <f t="shared" si="38"/>
        <v>2025</v>
      </c>
      <c r="AE262" t="str">
        <f t="shared" si="39"/>
        <v>Invalid</v>
      </c>
    </row>
    <row r="263" spans="1:31">
      <c r="A263" t="s">
        <v>891</v>
      </c>
      <c r="B263" s="3" t="s">
        <v>2763</v>
      </c>
      <c r="C263" s="3" t="s">
        <v>2763</v>
      </c>
      <c r="D263" t="s">
        <v>892</v>
      </c>
      <c r="E263" t="s">
        <v>132</v>
      </c>
      <c r="F263" t="s">
        <v>90</v>
      </c>
      <c r="G263" t="s">
        <v>25</v>
      </c>
      <c r="H263" t="s">
        <v>26</v>
      </c>
      <c r="I263" t="s">
        <v>27</v>
      </c>
      <c r="J263" t="s">
        <v>28</v>
      </c>
      <c r="K263" t="s">
        <v>91</v>
      </c>
      <c r="L263" t="s">
        <v>893</v>
      </c>
      <c r="M263" t="s">
        <v>59</v>
      </c>
      <c r="N263">
        <v>3</v>
      </c>
      <c r="O263">
        <v>686.74</v>
      </c>
      <c r="P263">
        <v>0.2</v>
      </c>
      <c r="Q263">
        <v>1648.18</v>
      </c>
      <c r="R263">
        <v>987.91</v>
      </c>
      <c r="S263">
        <v>660.27</v>
      </c>
      <c r="T263" t="s">
        <v>155</v>
      </c>
      <c r="U263" t="s">
        <v>68</v>
      </c>
      <c r="V263" t="str">
        <f>IF(OR(B263="Invalid Date",C263="Invalid Date"),"Invalid Date",C263-B263)</f>
        <v>Invalid Date</v>
      </c>
      <c r="W263" s="4" t="str">
        <f>IF(OR(B263="Invalid Date",C263="Invalid Date"),"Invalid Date",IF(C263&lt;B263,"Invalid Shipping","OK"))</f>
        <v>Invalid Date</v>
      </c>
      <c r="X263">
        <f t="shared" si="32"/>
        <v>1</v>
      </c>
      <c r="Y263">
        <f t="shared" si="33"/>
        <v>0.2</v>
      </c>
      <c r="Z263">
        <f t="shared" si="34"/>
        <v>1648.1760000000004</v>
      </c>
      <c r="AA263">
        <f t="shared" si="35"/>
        <v>660.26600000000042</v>
      </c>
      <c r="AB263" s="6">
        <f t="shared" si="36"/>
        <v>0.40060406170214846</v>
      </c>
      <c r="AC263" t="str">
        <f t="shared" si="37"/>
        <v/>
      </c>
      <c r="AD263" t="str">
        <f t="shared" si="38"/>
        <v/>
      </c>
      <c r="AE263" t="str">
        <f t="shared" si="39"/>
        <v>Invalid</v>
      </c>
    </row>
    <row r="264" spans="1:31">
      <c r="A264" t="s">
        <v>894</v>
      </c>
      <c r="B264" s="3">
        <v>45803</v>
      </c>
      <c r="C264" s="3">
        <v>45809</v>
      </c>
      <c r="D264" t="s">
        <v>629</v>
      </c>
      <c r="E264" t="s">
        <v>53</v>
      </c>
      <c r="F264" t="s">
        <v>37</v>
      </c>
      <c r="G264" t="s">
        <v>25</v>
      </c>
      <c r="H264" t="s">
        <v>350</v>
      </c>
      <c r="I264" t="s">
        <v>351</v>
      </c>
      <c r="J264" t="s">
        <v>74</v>
      </c>
      <c r="K264" t="s">
        <v>171</v>
      </c>
      <c r="L264" t="s">
        <v>895</v>
      </c>
      <c r="M264" t="s">
        <v>44</v>
      </c>
      <c r="N264">
        <v>4</v>
      </c>
      <c r="O264">
        <v>3349.86</v>
      </c>
      <c r="P264">
        <v>0</v>
      </c>
      <c r="Q264">
        <v>13399.44</v>
      </c>
      <c r="R264">
        <v>8581.35</v>
      </c>
      <c r="S264">
        <v>4818.09</v>
      </c>
      <c r="T264" t="s">
        <v>111</v>
      </c>
      <c r="U264" t="s">
        <v>103</v>
      </c>
      <c r="V264">
        <f>IF(OR(B264="Invalid Date",C264="Invalid Date"),"Invalid Date",C264-B264)</f>
        <v>6</v>
      </c>
      <c r="W264" s="4" t="str">
        <f>IF(OR(B264="Invalid Date",C264="Invalid Date"),"Invalid Date",IF(C264&lt;B264,"Invalid Shipping","OK"))</f>
        <v>OK</v>
      </c>
      <c r="X264">
        <f t="shared" si="32"/>
        <v>1</v>
      </c>
      <c r="Y264">
        <f t="shared" si="33"/>
        <v>0</v>
      </c>
      <c r="Z264">
        <f t="shared" si="34"/>
        <v>13399.44</v>
      </c>
      <c r="AA264">
        <f t="shared" si="35"/>
        <v>4818.09</v>
      </c>
      <c r="AB264" s="6">
        <f t="shared" si="36"/>
        <v>0.3595739821962709</v>
      </c>
      <c r="AC264" t="str">
        <f t="shared" si="37"/>
        <v>May</v>
      </c>
      <c r="AD264">
        <f t="shared" si="38"/>
        <v>2025</v>
      </c>
      <c r="AE264" t="str">
        <f t="shared" si="39"/>
        <v>Clean</v>
      </c>
    </row>
    <row r="265" spans="1:31">
      <c r="A265" t="s">
        <v>896</v>
      </c>
      <c r="B265" s="3">
        <v>45875</v>
      </c>
      <c r="C265" s="3">
        <v>45879</v>
      </c>
      <c r="D265" t="s">
        <v>897</v>
      </c>
      <c r="E265" t="s">
        <v>141</v>
      </c>
      <c r="F265" t="s">
        <v>37</v>
      </c>
      <c r="G265" t="s">
        <v>25</v>
      </c>
      <c r="H265" t="s">
        <v>350</v>
      </c>
      <c r="I265" t="s">
        <v>351</v>
      </c>
      <c r="J265" t="s">
        <v>28</v>
      </c>
      <c r="K265" t="s">
        <v>153</v>
      </c>
      <c r="L265" t="s">
        <v>898</v>
      </c>
      <c r="M265" t="s">
        <v>31</v>
      </c>
      <c r="N265">
        <v>9</v>
      </c>
      <c r="O265">
        <v>4042.45</v>
      </c>
      <c r="P265">
        <v>0.1</v>
      </c>
      <c r="Q265">
        <v>32743.84</v>
      </c>
      <c r="R265">
        <v>22452.05</v>
      </c>
      <c r="S265">
        <v>10291.790000000001</v>
      </c>
      <c r="T265" t="s">
        <v>111</v>
      </c>
      <c r="U265" t="s">
        <v>103</v>
      </c>
      <c r="V265">
        <f>IF(OR(B265="Invalid Date",C265="Invalid Date"),"Invalid Date",C265-B265)</f>
        <v>4</v>
      </c>
      <c r="W265" s="4" t="str">
        <f>IF(OR(B265="Invalid Date",C265="Invalid Date"),"Invalid Date",IF(C265&lt;B265,"Invalid Shipping","OK"))</f>
        <v>OK</v>
      </c>
      <c r="X265">
        <f t="shared" si="32"/>
        <v>1</v>
      </c>
      <c r="Y265">
        <f t="shared" si="33"/>
        <v>0.1</v>
      </c>
      <c r="Z265">
        <f t="shared" si="34"/>
        <v>32743.844999999998</v>
      </c>
      <c r="AA265">
        <f t="shared" si="35"/>
        <v>10291.794999999998</v>
      </c>
      <c r="AB265" s="6">
        <f t="shared" si="36"/>
        <v>0.314312353970647</v>
      </c>
      <c r="AC265" t="str">
        <f t="shared" si="37"/>
        <v>August</v>
      </c>
      <c r="AD265">
        <f t="shared" si="38"/>
        <v>2025</v>
      </c>
      <c r="AE265" t="str">
        <f t="shared" si="39"/>
        <v>Clean</v>
      </c>
    </row>
    <row r="266" spans="1:31">
      <c r="A266" t="s">
        <v>899</v>
      </c>
      <c r="B266" s="3">
        <v>45428</v>
      </c>
      <c r="C266" s="3" t="s">
        <v>2763</v>
      </c>
      <c r="D266" t="s">
        <v>900</v>
      </c>
      <c r="E266" t="s">
        <v>162</v>
      </c>
      <c r="F266" t="s">
        <v>37</v>
      </c>
      <c r="G266" t="s">
        <v>38</v>
      </c>
      <c r="H266" t="s">
        <v>145</v>
      </c>
      <c r="I266" t="s">
        <v>146</v>
      </c>
      <c r="J266" t="s">
        <v>74</v>
      </c>
      <c r="K266" t="s">
        <v>80</v>
      </c>
      <c r="L266" t="s">
        <v>901</v>
      </c>
      <c r="M266" t="s">
        <v>59</v>
      </c>
      <c r="N266">
        <v>4</v>
      </c>
      <c r="O266">
        <v>1503.07</v>
      </c>
      <c r="P266">
        <v>0</v>
      </c>
      <c r="Q266">
        <v>6012.28</v>
      </c>
      <c r="R266">
        <v>3927.64</v>
      </c>
      <c r="S266">
        <v>2084.64</v>
      </c>
      <c r="T266" t="s">
        <v>32</v>
      </c>
      <c r="U266" t="s">
        <v>33</v>
      </c>
      <c r="V266" t="str">
        <f>IF(OR(B266="Invalid Date",C266="Invalid Date"),"Invalid Date",C266-B266)</f>
        <v>Invalid Date</v>
      </c>
      <c r="W266" s="4" t="str">
        <f>IF(OR(B266="Invalid Date",C266="Invalid Date"),"Invalid Date",IF(C266&lt;B266,"Invalid Shipping","OK"))</f>
        <v>Invalid Date</v>
      </c>
      <c r="X266">
        <f t="shared" si="32"/>
        <v>1</v>
      </c>
      <c r="Y266">
        <f t="shared" si="33"/>
        <v>0</v>
      </c>
      <c r="Z266">
        <f t="shared" si="34"/>
        <v>6012.28</v>
      </c>
      <c r="AA266">
        <f t="shared" si="35"/>
        <v>2084.64</v>
      </c>
      <c r="AB266" s="6">
        <f t="shared" si="36"/>
        <v>0.34673035853286938</v>
      </c>
      <c r="AC266" t="str">
        <f t="shared" si="37"/>
        <v>May</v>
      </c>
      <c r="AD266">
        <f t="shared" si="38"/>
        <v>2024</v>
      </c>
      <c r="AE266" t="str">
        <f t="shared" si="39"/>
        <v>Invalid</v>
      </c>
    </row>
    <row r="267" spans="1:31">
      <c r="A267" t="s">
        <v>902</v>
      </c>
      <c r="B267" s="3">
        <v>45610</v>
      </c>
      <c r="C267" s="3" t="s">
        <v>2763</v>
      </c>
      <c r="D267" t="s">
        <v>903</v>
      </c>
      <c r="E267" t="s">
        <v>114</v>
      </c>
      <c r="F267" t="s">
        <v>90</v>
      </c>
      <c r="G267" t="s">
        <v>38</v>
      </c>
      <c r="H267" t="s">
        <v>145</v>
      </c>
      <c r="I267" t="s">
        <v>146</v>
      </c>
      <c r="J267" t="s">
        <v>41</v>
      </c>
      <c r="K267" t="s">
        <v>158</v>
      </c>
      <c r="L267" t="s">
        <v>904</v>
      </c>
      <c r="M267" t="s">
        <v>44</v>
      </c>
      <c r="N267">
        <v>1</v>
      </c>
      <c r="O267">
        <v>582.37</v>
      </c>
      <c r="P267">
        <v>0.15</v>
      </c>
      <c r="Q267">
        <v>495.01</v>
      </c>
      <c r="R267">
        <v>285.13</v>
      </c>
      <c r="S267">
        <v>209.88</v>
      </c>
      <c r="T267" t="s">
        <v>102</v>
      </c>
      <c r="U267" t="s">
        <v>68</v>
      </c>
      <c r="V267" t="str">
        <f>IF(OR(B267="Invalid Date",C267="Invalid Date"),"Invalid Date",C267-B267)</f>
        <v>Invalid Date</v>
      </c>
      <c r="W267" s="4" t="str">
        <f>IF(OR(B267="Invalid Date",C267="Invalid Date"),"Invalid Date",IF(C267&lt;B267,"Invalid Shipping","OK"))</f>
        <v>Invalid Date</v>
      </c>
      <c r="X267">
        <f t="shared" si="32"/>
        <v>1</v>
      </c>
      <c r="Y267">
        <f t="shared" si="33"/>
        <v>0.15</v>
      </c>
      <c r="Z267">
        <f t="shared" si="34"/>
        <v>495.0145</v>
      </c>
      <c r="AA267">
        <f t="shared" si="35"/>
        <v>209.8845</v>
      </c>
      <c r="AB267" s="6">
        <f t="shared" si="36"/>
        <v>0.42399667080459258</v>
      </c>
      <c r="AC267" t="str">
        <f t="shared" si="37"/>
        <v>November</v>
      </c>
      <c r="AD267">
        <f t="shared" si="38"/>
        <v>2024</v>
      </c>
      <c r="AE267" t="str">
        <f t="shared" si="39"/>
        <v>Invalid</v>
      </c>
    </row>
    <row r="268" spans="1:31">
      <c r="A268" t="s">
        <v>905</v>
      </c>
      <c r="B268" s="3">
        <v>45780</v>
      </c>
      <c r="C268" s="3">
        <v>45787</v>
      </c>
      <c r="D268" t="s">
        <v>906</v>
      </c>
      <c r="E268" t="s">
        <v>79</v>
      </c>
      <c r="F268" t="s">
        <v>95</v>
      </c>
      <c r="G268" t="s">
        <v>63</v>
      </c>
      <c r="H268" t="s">
        <v>64</v>
      </c>
      <c r="I268" t="s">
        <v>65</v>
      </c>
      <c r="J268" t="s">
        <v>28</v>
      </c>
      <c r="K268" t="s">
        <v>124</v>
      </c>
      <c r="L268" t="s">
        <v>907</v>
      </c>
      <c r="M268" t="s">
        <v>31</v>
      </c>
      <c r="N268">
        <v>3</v>
      </c>
      <c r="O268">
        <v>4339.24</v>
      </c>
      <c r="P268">
        <v>0</v>
      </c>
      <c r="Q268">
        <v>13017.72</v>
      </c>
      <c r="R268">
        <v>10170.57</v>
      </c>
      <c r="S268">
        <v>2847.15</v>
      </c>
      <c r="T268" t="s">
        <v>32</v>
      </c>
      <c r="U268" t="s">
        <v>33</v>
      </c>
      <c r="V268">
        <f>IF(OR(B268="Invalid Date",C268="Invalid Date"),"Invalid Date",C268-B268)</f>
        <v>7</v>
      </c>
      <c r="W268" s="4" t="str">
        <f>IF(OR(B268="Invalid Date",C268="Invalid Date"),"Invalid Date",IF(C268&lt;B268,"Invalid Shipping","OK"))</f>
        <v>OK</v>
      </c>
      <c r="X268">
        <f t="shared" si="32"/>
        <v>1</v>
      </c>
      <c r="Y268">
        <f t="shared" si="33"/>
        <v>0</v>
      </c>
      <c r="Z268">
        <f t="shared" si="34"/>
        <v>13017.72</v>
      </c>
      <c r="AA268">
        <f t="shared" si="35"/>
        <v>2847.1499999999996</v>
      </c>
      <c r="AB268" s="6">
        <f t="shared" si="36"/>
        <v>0.21871341525244051</v>
      </c>
      <c r="AC268" t="str">
        <f t="shared" si="37"/>
        <v>May</v>
      </c>
      <c r="AD268">
        <f t="shared" si="38"/>
        <v>2025</v>
      </c>
      <c r="AE268" t="str">
        <f t="shared" si="39"/>
        <v>Clean</v>
      </c>
    </row>
    <row r="269" spans="1:31">
      <c r="A269" t="s">
        <v>908</v>
      </c>
      <c r="B269" s="3">
        <v>45805</v>
      </c>
      <c r="C269" s="3">
        <v>45812</v>
      </c>
      <c r="D269" t="s">
        <v>909</v>
      </c>
      <c r="E269" t="s">
        <v>162</v>
      </c>
      <c r="F269" t="s">
        <v>90</v>
      </c>
      <c r="G269" t="s">
        <v>38</v>
      </c>
      <c r="H269" t="s">
        <v>228</v>
      </c>
      <c r="I269" t="s">
        <v>229</v>
      </c>
      <c r="J269" t="s">
        <v>41</v>
      </c>
      <c r="K269" t="s">
        <v>57</v>
      </c>
      <c r="L269" t="s">
        <v>910</v>
      </c>
      <c r="M269" t="s">
        <v>50</v>
      </c>
      <c r="N269">
        <v>4</v>
      </c>
      <c r="O269">
        <v>261.8</v>
      </c>
      <c r="P269">
        <v>0.25</v>
      </c>
      <c r="Q269">
        <v>785.4</v>
      </c>
      <c r="R269">
        <v>557.22</v>
      </c>
      <c r="S269">
        <v>228.18</v>
      </c>
      <c r="T269" t="s">
        <v>32</v>
      </c>
      <c r="U269" t="s">
        <v>33</v>
      </c>
      <c r="V269">
        <f>IF(OR(B269="Invalid Date",C269="Invalid Date"),"Invalid Date",C269-B269)</f>
        <v>7</v>
      </c>
      <c r="W269" s="4" t="str">
        <f>IF(OR(B269="Invalid Date",C269="Invalid Date"),"Invalid Date",IF(C269&lt;B269,"Invalid Shipping","OK"))</f>
        <v>OK</v>
      </c>
      <c r="X269">
        <f t="shared" si="32"/>
        <v>1</v>
      </c>
      <c r="Y269">
        <f t="shared" si="33"/>
        <v>0.25</v>
      </c>
      <c r="Z269">
        <f t="shared" si="34"/>
        <v>785.40000000000009</v>
      </c>
      <c r="AA269">
        <f t="shared" si="35"/>
        <v>228.18000000000006</v>
      </c>
      <c r="AB269" s="6">
        <f t="shared" si="36"/>
        <v>0.29052711993888469</v>
      </c>
      <c r="AC269" t="str">
        <f t="shared" si="37"/>
        <v>May</v>
      </c>
      <c r="AD269">
        <f t="shared" si="38"/>
        <v>2025</v>
      </c>
      <c r="AE269" t="str">
        <f t="shared" si="39"/>
        <v>Clean</v>
      </c>
    </row>
    <row r="270" spans="1:31">
      <c r="A270" t="s">
        <v>911</v>
      </c>
      <c r="B270" s="3" t="s">
        <v>2763</v>
      </c>
      <c r="C270" s="3" t="s">
        <v>2763</v>
      </c>
      <c r="D270" t="s">
        <v>912</v>
      </c>
      <c r="E270" t="s">
        <v>128</v>
      </c>
      <c r="F270" t="s">
        <v>95</v>
      </c>
      <c r="G270" t="s">
        <v>25</v>
      </c>
      <c r="H270" t="s">
        <v>122</v>
      </c>
      <c r="I270" t="s">
        <v>123</v>
      </c>
      <c r="J270" t="s">
        <v>74</v>
      </c>
      <c r="K270" t="s">
        <v>75</v>
      </c>
      <c r="L270" t="s">
        <v>913</v>
      </c>
      <c r="M270" t="s">
        <v>50</v>
      </c>
      <c r="N270">
        <v>7</v>
      </c>
      <c r="O270">
        <v>632.20000000000005</v>
      </c>
      <c r="P270">
        <v>0.25</v>
      </c>
      <c r="Q270">
        <v>3319.05</v>
      </c>
      <c r="R270">
        <v>2124.6</v>
      </c>
      <c r="S270">
        <v>1194.45</v>
      </c>
      <c r="T270" t="s">
        <v>32</v>
      </c>
      <c r="U270" t="s">
        <v>33</v>
      </c>
      <c r="V270" t="str">
        <f>IF(OR(B270="Invalid Date",C270="Invalid Date"),"Invalid Date",C270-B270)</f>
        <v>Invalid Date</v>
      </c>
      <c r="W270" s="4" t="str">
        <f>IF(OR(B270="Invalid Date",C270="Invalid Date"),"Invalid Date",IF(C270&lt;B270,"Invalid Shipping","OK"))</f>
        <v>Invalid Date</v>
      </c>
      <c r="X270">
        <f t="shared" si="32"/>
        <v>1</v>
      </c>
      <c r="Y270">
        <f t="shared" si="33"/>
        <v>0.25</v>
      </c>
      <c r="Z270">
        <f t="shared" si="34"/>
        <v>3319.05</v>
      </c>
      <c r="AA270">
        <f t="shared" si="35"/>
        <v>1194.4500000000003</v>
      </c>
      <c r="AB270" s="6">
        <f t="shared" si="36"/>
        <v>0.35987707325891449</v>
      </c>
      <c r="AC270" t="str">
        <f t="shared" si="37"/>
        <v/>
      </c>
      <c r="AD270" t="str">
        <f t="shared" si="38"/>
        <v/>
      </c>
      <c r="AE270" t="str">
        <f t="shared" si="39"/>
        <v>Invalid</v>
      </c>
    </row>
    <row r="271" spans="1:31">
      <c r="A271" t="s">
        <v>914</v>
      </c>
      <c r="B271" s="3">
        <v>45932</v>
      </c>
      <c r="C271" s="3">
        <v>45993</v>
      </c>
      <c r="D271" t="s">
        <v>915</v>
      </c>
      <c r="E271" t="s">
        <v>118</v>
      </c>
      <c r="F271" t="s">
        <v>37</v>
      </c>
      <c r="G271" t="s">
        <v>63</v>
      </c>
      <c r="H271" t="s">
        <v>26</v>
      </c>
      <c r="I271" t="s">
        <v>109</v>
      </c>
      <c r="J271" t="s">
        <v>41</v>
      </c>
      <c r="K271" t="s">
        <v>42</v>
      </c>
      <c r="L271" t="s">
        <v>916</v>
      </c>
      <c r="M271" t="s">
        <v>44</v>
      </c>
      <c r="N271">
        <v>1</v>
      </c>
      <c r="O271">
        <v>1925.86</v>
      </c>
      <c r="P271">
        <v>0</v>
      </c>
      <c r="Q271">
        <v>1925.86</v>
      </c>
      <c r="R271">
        <v>1321.89</v>
      </c>
      <c r="S271">
        <v>603.97</v>
      </c>
      <c r="T271" t="s">
        <v>32</v>
      </c>
      <c r="U271" t="s">
        <v>33</v>
      </c>
      <c r="V271">
        <f>IF(OR(B271="Invalid Date",C271="Invalid Date"),"Invalid Date",C271-B271)</f>
        <v>61</v>
      </c>
      <c r="W271" s="4" t="str">
        <f>IF(OR(B271="Invalid Date",C271="Invalid Date"),"Invalid Date",IF(C271&lt;B271,"Invalid Shipping","OK"))</f>
        <v>OK</v>
      </c>
      <c r="X271">
        <f t="shared" si="32"/>
        <v>1</v>
      </c>
      <c r="Y271">
        <f t="shared" si="33"/>
        <v>0</v>
      </c>
      <c r="Z271">
        <f t="shared" si="34"/>
        <v>1925.86</v>
      </c>
      <c r="AA271">
        <f t="shared" si="35"/>
        <v>603.9699999999998</v>
      </c>
      <c r="AB271" s="6">
        <f t="shared" si="36"/>
        <v>0.31361054282242729</v>
      </c>
      <c r="AC271" t="str">
        <f t="shared" si="37"/>
        <v>October</v>
      </c>
      <c r="AD271">
        <f t="shared" si="38"/>
        <v>2025</v>
      </c>
      <c r="AE271" t="str">
        <f t="shared" si="39"/>
        <v>Clean</v>
      </c>
    </row>
    <row r="272" spans="1:31">
      <c r="A272" t="s">
        <v>917</v>
      </c>
      <c r="B272" s="3">
        <v>45627</v>
      </c>
      <c r="C272" s="3">
        <v>45304</v>
      </c>
      <c r="D272" t="s">
        <v>918</v>
      </c>
      <c r="E272" t="s">
        <v>89</v>
      </c>
      <c r="F272" t="s">
        <v>90</v>
      </c>
      <c r="G272" t="s">
        <v>25</v>
      </c>
      <c r="H272" t="s">
        <v>136</v>
      </c>
      <c r="I272" t="s">
        <v>137</v>
      </c>
      <c r="J272" t="s">
        <v>74</v>
      </c>
      <c r="K272" t="s">
        <v>274</v>
      </c>
      <c r="L272" t="s">
        <v>919</v>
      </c>
      <c r="M272" t="s">
        <v>44</v>
      </c>
      <c r="N272">
        <v>3</v>
      </c>
      <c r="O272">
        <v>827.44</v>
      </c>
      <c r="P272">
        <v>0</v>
      </c>
      <c r="Q272">
        <v>2482.3200000000002</v>
      </c>
      <c r="R272">
        <v>1520.21</v>
      </c>
      <c r="S272">
        <v>962.11</v>
      </c>
      <c r="T272" t="s">
        <v>32</v>
      </c>
      <c r="U272" t="s">
        <v>33</v>
      </c>
      <c r="V272">
        <f>IF(OR(B272="Invalid Date",C272="Invalid Date"),"Invalid Date",C272-B272)</f>
        <v>-323</v>
      </c>
      <c r="W272" s="4" t="str">
        <f>IF(OR(B272="Invalid Date",C272="Invalid Date"),"Invalid Date",IF(C272&lt;B272,"Invalid Shipping","OK"))</f>
        <v>Invalid Shipping</v>
      </c>
      <c r="X272">
        <f t="shared" si="32"/>
        <v>1</v>
      </c>
      <c r="Y272">
        <f t="shared" si="33"/>
        <v>0</v>
      </c>
      <c r="Z272">
        <f t="shared" si="34"/>
        <v>2482.3200000000002</v>
      </c>
      <c r="AA272">
        <f t="shared" si="35"/>
        <v>962.11000000000013</v>
      </c>
      <c r="AB272" s="6">
        <f t="shared" si="36"/>
        <v>0.38758500112797706</v>
      </c>
      <c r="AC272" t="str">
        <f t="shared" si="37"/>
        <v>December</v>
      </c>
      <c r="AD272">
        <f t="shared" si="38"/>
        <v>2024</v>
      </c>
      <c r="AE272" t="str">
        <f t="shared" si="39"/>
        <v>Invalid</v>
      </c>
    </row>
    <row r="273" spans="1:31">
      <c r="A273" t="s">
        <v>920</v>
      </c>
      <c r="B273" s="3">
        <v>45647</v>
      </c>
      <c r="C273" s="3">
        <v>45651</v>
      </c>
      <c r="D273" t="s">
        <v>921</v>
      </c>
      <c r="E273" t="s">
        <v>89</v>
      </c>
      <c r="F273" t="s">
        <v>24</v>
      </c>
      <c r="G273" t="s">
        <v>54</v>
      </c>
      <c r="H273" t="s">
        <v>55</v>
      </c>
      <c r="I273" t="s">
        <v>56</v>
      </c>
      <c r="J273" t="s">
        <v>28</v>
      </c>
      <c r="K273" t="s">
        <v>153</v>
      </c>
      <c r="L273" t="s">
        <v>922</v>
      </c>
      <c r="M273" t="s">
        <v>59</v>
      </c>
      <c r="N273">
        <v>7</v>
      </c>
      <c r="O273">
        <v>1667.75</v>
      </c>
      <c r="P273">
        <v>0</v>
      </c>
      <c r="Q273">
        <v>11674.25</v>
      </c>
      <c r="R273">
        <v>9621.19</v>
      </c>
      <c r="S273">
        <v>2053.06</v>
      </c>
      <c r="T273" t="s">
        <v>155</v>
      </c>
      <c r="U273" t="s">
        <v>68</v>
      </c>
      <c r="V273">
        <f>IF(OR(B273="Invalid Date",C273="Invalid Date"),"Invalid Date",C273-B273)</f>
        <v>4</v>
      </c>
      <c r="W273" s="4" t="str">
        <f>IF(OR(B273="Invalid Date",C273="Invalid Date"),"Invalid Date",IF(C273&lt;B273,"Invalid Shipping","OK"))</f>
        <v>OK</v>
      </c>
      <c r="X273">
        <f t="shared" si="32"/>
        <v>1</v>
      </c>
      <c r="Y273">
        <f t="shared" si="33"/>
        <v>0</v>
      </c>
      <c r="Z273">
        <f t="shared" si="34"/>
        <v>11674.25</v>
      </c>
      <c r="AA273">
        <f t="shared" si="35"/>
        <v>2053.0599999999995</v>
      </c>
      <c r="AB273" s="6">
        <f t="shared" si="36"/>
        <v>0.17586226095894808</v>
      </c>
      <c r="AC273" t="str">
        <f t="shared" si="37"/>
        <v>December</v>
      </c>
      <c r="AD273">
        <f t="shared" si="38"/>
        <v>2024</v>
      </c>
      <c r="AE273" t="str">
        <f t="shared" si="39"/>
        <v>Clean</v>
      </c>
    </row>
    <row r="274" spans="1:31">
      <c r="A274" t="s">
        <v>923</v>
      </c>
      <c r="B274" s="3" t="s">
        <v>2763</v>
      </c>
      <c r="C274" s="3">
        <v>45528</v>
      </c>
      <c r="D274" t="s">
        <v>924</v>
      </c>
      <c r="E274" t="s">
        <v>53</v>
      </c>
      <c r="F274" t="s">
        <v>24</v>
      </c>
      <c r="G274" t="s">
        <v>54</v>
      </c>
      <c r="H274" t="s">
        <v>84</v>
      </c>
      <c r="I274" t="s">
        <v>85</v>
      </c>
      <c r="J274" t="s">
        <v>41</v>
      </c>
      <c r="K274" t="s">
        <v>66</v>
      </c>
      <c r="L274" t="s">
        <v>925</v>
      </c>
      <c r="M274" t="s">
        <v>50</v>
      </c>
      <c r="N274">
        <v>7</v>
      </c>
      <c r="O274">
        <v>557.21</v>
      </c>
      <c r="P274">
        <v>0.1</v>
      </c>
      <c r="Q274">
        <v>3510.42</v>
      </c>
      <c r="R274">
        <v>2191.5</v>
      </c>
      <c r="S274">
        <v>1213.48</v>
      </c>
      <c r="T274" t="s">
        <v>32</v>
      </c>
      <c r="U274" t="s">
        <v>33</v>
      </c>
      <c r="V274" t="str">
        <f>IF(OR(B274="Invalid Date",C274="Invalid Date"),"Invalid Date",C274-B274)</f>
        <v>Invalid Date</v>
      </c>
      <c r="W274" s="4" t="str">
        <f>IF(OR(B274="Invalid Date",C274="Invalid Date"),"Invalid Date",IF(C274&lt;B274,"Invalid Shipping","OK"))</f>
        <v>Invalid Date</v>
      </c>
      <c r="X274">
        <f t="shared" si="32"/>
        <v>2</v>
      </c>
      <c r="Y274">
        <f t="shared" si="33"/>
        <v>0.1</v>
      </c>
      <c r="Z274">
        <f t="shared" si="34"/>
        <v>3510.4230000000002</v>
      </c>
      <c r="AA274">
        <f t="shared" si="35"/>
        <v>1318.9230000000002</v>
      </c>
      <c r="AB274" s="6">
        <f t="shared" si="36"/>
        <v>0.37571625983535323</v>
      </c>
      <c r="AC274" t="str">
        <f t="shared" si="37"/>
        <v/>
      </c>
      <c r="AD274" t="str">
        <f t="shared" si="38"/>
        <v/>
      </c>
      <c r="AE274" t="str">
        <f t="shared" si="39"/>
        <v>Invalid</v>
      </c>
    </row>
    <row r="275" spans="1:31">
      <c r="A275" t="s">
        <v>926</v>
      </c>
      <c r="B275" s="3" t="s">
        <v>2763</v>
      </c>
      <c r="C275" s="3">
        <v>45701</v>
      </c>
      <c r="D275" t="s">
        <v>927</v>
      </c>
      <c r="E275" t="s">
        <v>47</v>
      </c>
      <c r="F275" t="s">
        <v>24</v>
      </c>
      <c r="G275" t="s">
        <v>38</v>
      </c>
      <c r="H275" t="s">
        <v>145</v>
      </c>
      <c r="I275" t="s">
        <v>146</v>
      </c>
      <c r="J275" t="s">
        <v>28</v>
      </c>
      <c r="K275" t="s">
        <v>29</v>
      </c>
      <c r="L275" t="s">
        <v>928</v>
      </c>
      <c r="M275" t="s">
        <v>31</v>
      </c>
      <c r="N275">
        <v>9</v>
      </c>
      <c r="O275">
        <v>2521.63</v>
      </c>
      <c r="P275">
        <v>0</v>
      </c>
      <c r="Q275">
        <v>22694.67</v>
      </c>
      <c r="R275">
        <v>15405.36</v>
      </c>
      <c r="S275">
        <v>7289.31</v>
      </c>
      <c r="T275" t="s">
        <v>32</v>
      </c>
      <c r="U275" t="s">
        <v>103</v>
      </c>
      <c r="V275" t="str">
        <f>IF(OR(B275="Invalid Date",C275="Invalid Date"),"Invalid Date",C275-B275)</f>
        <v>Invalid Date</v>
      </c>
      <c r="W275" s="4" t="str">
        <f>IF(OR(B275="Invalid Date",C275="Invalid Date"),"Invalid Date",IF(C275&lt;B275,"Invalid Shipping","OK"))</f>
        <v>Invalid Date</v>
      </c>
      <c r="X275">
        <f t="shared" si="32"/>
        <v>1</v>
      </c>
      <c r="Y275">
        <f t="shared" si="33"/>
        <v>0</v>
      </c>
      <c r="Z275">
        <f t="shared" si="34"/>
        <v>22694.670000000002</v>
      </c>
      <c r="AA275">
        <f t="shared" si="35"/>
        <v>7289.3100000000013</v>
      </c>
      <c r="AB275" s="6">
        <f t="shared" si="36"/>
        <v>0.32119039404406413</v>
      </c>
      <c r="AC275" t="str">
        <f t="shared" si="37"/>
        <v/>
      </c>
      <c r="AD275" t="str">
        <f t="shared" si="38"/>
        <v/>
      </c>
      <c r="AE275" t="str">
        <f t="shared" si="39"/>
        <v>Invalid</v>
      </c>
    </row>
    <row r="276" spans="1:31">
      <c r="A276" t="s">
        <v>929</v>
      </c>
      <c r="B276" s="3">
        <v>45389</v>
      </c>
      <c r="C276" s="3">
        <v>45396</v>
      </c>
      <c r="D276" t="s">
        <v>930</v>
      </c>
      <c r="E276" t="s">
        <v>141</v>
      </c>
      <c r="F276" t="s">
        <v>24</v>
      </c>
      <c r="G276" t="s">
        <v>54</v>
      </c>
      <c r="H276" t="s">
        <v>185</v>
      </c>
      <c r="I276" t="s">
        <v>186</v>
      </c>
      <c r="J276" t="s">
        <v>74</v>
      </c>
      <c r="K276" t="s">
        <v>80</v>
      </c>
      <c r="L276" t="s">
        <v>931</v>
      </c>
      <c r="M276" t="s">
        <v>59</v>
      </c>
      <c r="N276">
        <v>6</v>
      </c>
      <c r="O276">
        <v>4246.71</v>
      </c>
      <c r="P276">
        <v>0.15</v>
      </c>
      <c r="Q276">
        <v>21658.22</v>
      </c>
      <c r="R276">
        <v>15490.69</v>
      </c>
      <c r="S276">
        <v>6167.53</v>
      </c>
      <c r="T276" t="s">
        <v>155</v>
      </c>
      <c r="U276" t="s">
        <v>103</v>
      </c>
      <c r="V276">
        <f>IF(OR(B276="Invalid Date",C276="Invalid Date"),"Invalid Date",C276-B276)</f>
        <v>7</v>
      </c>
      <c r="W276" s="4" t="str">
        <f>IF(OR(B276="Invalid Date",C276="Invalid Date"),"Invalid Date",IF(C276&lt;B276,"Invalid Shipping","OK"))</f>
        <v>OK</v>
      </c>
      <c r="X276">
        <f t="shared" si="32"/>
        <v>1</v>
      </c>
      <c r="Y276">
        <f t="shared" si="33"/>
        <v>0.15</v>
      </c>
      <c r="Z276">
        <f t="shared" si="34"/>
        <v>21658.221000000001</v>
      </c>
      <c r="AA276">
        <f t="shared" si="35"/>
        <v>6167.5310000000009</v>
      </c>
      <c r="AB276" s="6">
        <f t="shared" si="36"/>
        <v>0.28476627881856043</v>
      </c>
      <c r="AC276" t="str">
        <f t="shared" si="37"/>
        <v>April</v>
      </c>
      <c r="AD276">
        <f t="shared" si="38"/>
        <v>2024</v>
      </c>
      <c r="AE276" t="str">
        <f t="shared" si="39"/>
        <v>Clean</v>
      </c>
    </row>
    <row r="277" spans="1:31">
      <c r="A277" t="s">
        <v>932</v>
      </c>
      <c r="B277" s="3">
        <v>45337</v>
      </c>
      <c r="C277" s="3" t="s">
        <v>2763</v>
      </c>
      <c r="D277" t="s">
        <v>933</v>
      </c>
      <c r="E277" t="s">
        <v>114</v>
      </c>
      <c r="F277" t="s">
        <v>37</v>
      </c>
      <c r="G277" t="s">
        <v>38</v>
      </c>
      <c r="H277" t="s">
        <v>99</v>
      </c>
      <c r="I277" t="s">
        <v>100</v>
      </c>
      <c r="J277" t="s">
        <v>41</v>
      </c>
      <c r="K277" t="s">
        <v>57</v>
      </c>
      <c r="L277" t="s">
        <v>934</v>
      </c>
      <c r="M277" t="s">
        <v>44</v>
      </c>
      <c r="N277">
        <v>1</v>
      </c>
      <c r="O277">
        <v>980.51</v>
      </c>
      <c r="P277">
        <v>0</v>
      </c>
      <c r="Q277">
        <v>980.51</v>
      </c>
      <c r="R277">
        <v>660.92</v>
      </c>
      <c r="S277">
        <v>319.58999999999997</v>
      </c>
      <c r="T277" t="s">
        <v>32</v>
      </c>
      <c r="U277" t="s">
        <v>33</v>
      </c>
      <c r="V277" t="str">
        <f>IF(OR(B277="Invalid Date",C277="Invalid Date"),"Invalid Date",C277-B277)</f>
        <v>Invalid Date</v>
      </c>
      <c r="W277" s="4" t="str">
        <f>IF(OR(B277="Invalid Date",C277="Invalid Date"),"Invalid Date",IF(C277&lt;B277,"Invalid Shipping","OK"))</f>
        <v>Invalid Date</v>
      </c>
      <c r="X277">
        <f t="shared" si="32"/>
        <v>1</v>
      </c>
      <c r="Y277">
        <f t="shared" si="33"/>
        <v>0</v>
      </c>
      <c r="Z277">
        <f t="shared" si="34"/>
        <v>980.51</v>
      </c>
      <c r="AA277">
        <f t="shared" si="35"/>
        <v>319.59000000000003</v>
      </c>
      <c r="AB277" s="6">
        <f t="shared" si="36"/>
        <v>0.32594262169687205</v>
      </c>
      <c r="AC277" t="str">
        <f t="shared" si="37"/>
        <v>February</v>
      </c>
      <c r="AD277">
        <f t="shared" si="38"/>
        <v>2024</v>
      </c>
      <c r="AE277" t="str">
        <f t="shared" si="39"/>
        <v>Invalid</v>
      </c>
    </row>
    <row r="278" spans="1:31">
      <c r="A278" t="s">
        <v>935</v>
      </c>
      <c r="B278" s="3">
        <v>45313</v>
      </c>
      <c r="C278" s="3">
        <v>45314</v>
      </c>
      <c r="D278" t="s">
        <v>936</v>
      </c>
      <c r="E278" t="s">
        <v>128</v>
      </c>
      <c r="F278" t="s">
        <v>37</v>
      </c>
      <c r="G278" t="s">
        <v>2767</v>
      </c>
      <c r="H278" t="s">
        <v>166</v>
      </c>
      <c r="I278" t="s">
        <v>167</v>
      </c>
      <c r="J278" t="s">
        <v>41</v>
      </c>
      <c r="K278" t="s">
        <v>66</v>
      </c>
      <c r="L278" t="s">
        <v>937</v>
      </c>
      <c r="M278" t="s">
        <v>31</v>
      </c>
      <c r="N278">
        <v>6</v>
      </c>
      <c r="O278">
        <v>3391.53</v>
      </c>
      <c r="P278">
        <v>-0.14000000000000001</v>
      </c>
      <c r="Q278">
        <v>15261.89</v>
      </c>
      <c r="R278">
        <v>8413.5300000000007</v>
      </c>
      <c r="S278">
        <v>6848.36</v>
      </c>
      <c r="T278" t="s">
        <v>32</v>
      </c>
      <c r="U278" t="s">
        <v>33</v>
      </c>
      <c r="V278">
        <f>IF(OR(B278="Invalid Date",C278="Invalid Date"),"Invalid Date",C278-B278)</f>
        <v>1</v>
      </c>
      <c r="W278" s="4" t="str">
        <f>IF(OR(B278="Invalid Date",C278="Invalid Date"),"Invalid Date",IF(C278&lt;B278,"Invalid Shipping","OK"))</f>
        <v>OK</v>
      </c>
      <c r="X278">
        <f t="shared" si="32"/>
        <v>1</v>
      </c>
      <c r="Y278" t="str">
        <f t="shared" si="33"/>
        <v>Invalid</v>
      </c>
      <c r="Z278" t="str">
        <f t="shared" si="34"/>
        <v/>
      </c>
      <c r="AA278" t="str">
        <f t="shared" si="35"/>
        <v/>
      </c>
      <c r="AB278" s="6" t="str">
        <f t="shared" si="36"/>
        <v/>
      </c>
      <c r="AC278" t="str">
        <f t="shared" si="37"/>
        <v>January</v>
      </c>
      <c r="AD278">
        <f t="shared" si="38"/>
        <v>2024</v>
      </c>
      <c r="AE278" t="str">
        <f t="shared" si="39"/>
        <v>Invalid</v>
      </c>
    </row>
    <row r="279" spans="1:31">
      <c r="A279" t="s">
        <v>938</v>
      </c>
      <c r="B279" s="3">
        <v>45812</v>
      </c>
      <c r="C279" s="3">
        <v>45812</v>
      </c>
      <c r="D279" t="s">
        <v>790</v>
      </c>
      <c r="E279" t="s">
        <v>47</v>
      </c>
      <c r="F279" t="s">
        <v>90</v>
      </c>
      <c r="G279" t="s">
        <v>25</v>
      </c>
      <c r="H279" t="s">
        <v>236</v>
      </c>
      <c r="I279" t="s">
        <v>237</v>
      </c>
      <c r="J279" t="s">
        <v>74</v>
      </c>
      <c r="K279" t="s">
        <v>75</v>
      </c>
      <c r="L279" t="s">
        <v>939</v>
      </c>
      <c r="M279" t="s">
        <v>31</v>
      </c>
      <c r="N279">
        <v>1</v>
      </c>
      <c r="O279">
        <v>2133.73</v>
      </c>
      <c r="P279">
        <v>0.15</v>
      </c>
      <c r="Q279">
        <v>2008.39</v>
      </c>
      <c r="R279">
        <v>1002.57</v>
      </c>
      <c r="S279">
        <v>811.1</v>
      </c>
      <c r="T279" t="s">
        <v>111</v>
      </c>
      <c r="U279" t="s">
        <v>68</v>
      </c>
      <c r="V279">
        <f>IF(OR(B279="Invalid Date",C279="Invalid Date"),"Invalid Date",C279-B279)</f>
        <v>0</v>
      </c>
      <c r="W279" s="4" t="str">
        <f>IF(OR(B279="Invalid Date",C279="Invalid Date"),"Invalid Date",IF(C279&lt;B279,"Invalid Shipping","OK"))</f>
        <v>OK</v>
      </c>
      <c r="X279">
        <f t="shared" si="32"/>
        <v>1</v>
      </c>
      <c r="Y279">
        <f t="shared" si="33"/>
        <v>0.15</v>
      </c>
      <c r="Z279">
        <f t="shared" si="34"/>
        <v>1813.6704999999999</v>
      </c>
      <c r="AA279">
        <f t="shared" si="35"/>
        <v>811.1004999999999</v>
      </c>
      <c r="AB279" s="6">
        <f t="shared" si="36"/>
        <v>0.4472149158295291</v>
      </c>
      <c r="AC279" t="str">
        <f t="shared" si="37"/>
        <v>June</v>
      </c>
      <c r="AD279">
        <f t="shared" si="38"/>
        <v>2025</v>
      </c>
      <c r="AE279" t="str">
        <f t="shared" si="39"/>
        <v>Clean</v>
      </c>
    </row>
    <row r="280" spans="1:31">
      <c r="A280" t="s">
        <v>940</v>
      </c>
      <c r="B280" s="3">
        <v>45723</v>
      </c>
      <c r="C280" s="3">
        <v>45730</v>
      </c>
      <c r="D280" t="s">
        <v>941</v>
      </c>
      <c r="E280" t="s">
        <v>114</v>
      </c>
      <c r="F280" t="s">
        <v>37</v>
      </c>
      <c r="G280" t="s">
        <v>25</v>
      </c>
      <c r="H280" t="s">
        <v>350</v>
      </c>
      <c r="I280" t="s">
        <v>351</v>
      </c>
      <c r="J280" t="s">
        <v>74</v>
      </c>
      <c r="K280" t="s">
        <v>75</v>
      </c>
      <c r="L280" t="s">
        <v>942</v>
      </c>
      <c r="M280" t="s">
        <v>44</v>
      </c>
      <c r="N280">
        <v>1</v>
      </c>
      <c r="O280">
        <v>3979.64</v>
      </c>
      <c r="P280">
        <v>0.05</v>
      </c>
      <c r="Q280">
        <v>3780.66</v>
      </c>
      <c r="R280">
        <v>2148.31</v>
      </c>
      <c r="S280">
        <v>1632.35</v>
      </c>
      <c r="T280" t="s">
        <v>32</v>
      </c>
      <c r="U280" t="s">
        <v>103</v>
      </c>
      <c r="V280">
        <f>IF(OR(B280="Invalid Date",C280="Invalid Date"),"Invalid Date",C280-B280)</f>
        <v>7</v>
      </c>
      <c r="W280" s="4" t="str">
        <f>IF(OR(B280="Invalid Date",C280="Invalid Date"),"Invalid Date",IF(C280&lt;B280,"Invalid Shipping","OK"))</f>
        <v>OK</v>
      </c>
      <c r="X280">
        <f t="shared" si="32"/>
        <v>1</v>
      </c>
      <c r="Y280">
        <f t="shared" si="33"/>
        <v>0.05</v>
      </c>
      <c r="Z280">
        <f t="shared" si="34"/>
        <v>3780.6579999999999</v>
      </c>
      <c r="AA280">
        <f t="shared" si="35"/>
        <v>1632.348</v>
      </c>
      <c r="AB280" s="6">
        <f t="shared" si="36"/>
        <v>0.43176293650470365</v>
      </c>
      <c r="AC280" t="str">
        <f t="shared" si="37"/>
        <v>March</v>
      </c>
      <c r="AD280">
        <f t="shared" si="38"/>
        <v>2025</v>
      </c>
      <c r="AE280" t="str">
        <f t="shared" si="39"/>
        <v>Clean</v>
      </c>
    </row>
    <row r="281" spans="1:31">
      <c r="A281" t="s">
        <v>943</v>
      </c>
      <c r="B281" s="3">
        <v>45539</v>
      </c>
      <c r="C281" s="3">
        <v>45392</v>
      </c>
      <c r="D281" t="s">
        <v>944</v>
      </c>
      <c r="E281" t="s">
        <v>141</v>
      </c>
      <c r="F281" t="s">
        <v>37</v>
      </c>
      <c r="G281" t="s">
        <v>63</v>
      </c>
      <c r="H281" t="s">
        <v>64</v>
      </c>
      <c r="I281" t="s">
        <v>65</v>
      </c>
      <c r="J281" t="s">
        <v>28</v>
      </c>
      <c r="K281" t="s">
        <v>124</v>
      </c>
      <c r="L281" t="s">
        <v>945</v>
      </c>
      <c r="M281" t="s">
        <v>50</v>
      </c>
      <c r="N281">
        <v>1</v>
      </c>
      <c r="O281">
        <v>4359.12</v>
      </c>
      <c r="P281">
        <v>0.05</v>
      </c>
      <c r="Q281">
        <v>4141.16</v>
      </c>
      <c r="R281">
        <v>2754.17</v>
      </c>
      <c r="S281">
        <v>1386.99</v>
      </c>
      <c r="T281" t="s">
        <v>32</v>
      </c>
      <c r="U281" t="s">
        <v>33</v>
      </c>
      <c r="V281">
        <f>IF(OR(B281="Invalid Date",C281="Invalid Date"),"Invalid Date",C281-B281)</f>
        <v>-147</v>
      </c>
      <c r="W281" s="4" t="str">
        <f>IF(OR(B281="Invalid Date",C281="Invalid Date"),"Invalid Date",IF(C281&lt;B281,"Invalid Shipping","OK"))</f>
        <v>Invalid Shipping</v>
      </c>
      <c r="X281">
        <f t="shared" si="32"/>
        <v>1</v>
      </c>
      <c r="Y281">
        <f t="shared" si="33"/>
        <v>0.05</v>
      </c>
      <c r="Z281">
        <f t="shared" si="34"/>
        <v>4141.1639999999998</v>
      </c>
      <c r="AA281">
        <f t="shared" si="35"/>
        <v>1386.9939999999997</v>
      </c>
      <c r="AB281" s="6">
        <f t="shared" si="36"/>
        <v>0.33492853700070796</v>
      </c>
      <c r="AC281" t="str">
        <f t="shared" si="37"/>
        <v>September</v>
      </c>
      <c r="AD281">
        <f t="shared" si="38"/>
        <v>2024</v>
      </c>
      <c r="AE281" t="str">
        <f t="shared" si="39"/>
        <v>Invalid</v>
      </c>
    </row>
    <row r="282" spans="1:31">
      <c r="A282" t="s">
        <v>946</v>
      </c>
      <c r="B282" s="3" t="s">
        <v>2763</v>
      </c>
      <c r="C282" s="3">
        <v>45652</v>
      </c>
      <c r="D282" t="s">
        <v>947</v>
      </c>
      <c r="E282" t="s">
        <v>89</v>
      </c>
      <c r="F282" t="s">
        <v>24</v>
      </c>
      <c r="G282" t="s">
        <v>54</v>
      </c>
      <c r="H282" t="s">
        <v>175</v>
      </c>
      <c r="I282" t="s">
        <v>176</v>
      </c>
      <c r="J282" t="s">
        <v>74</v>
      </c>
      <c r="K282" t="s">
        <v>80</v>
      </c>
      <c r="L282" t="s">
        <v>948</v>
      </c>
      <c r="M282" t="s">
        <v>59</v>
      </c>
      <c r="N282">
        <v>9</v>
      </c>
      <c r="O282">
        <v>993.67</v>
      </c>
      <c r="P282">
        <v>0</v>
      </c>
      <c r="Q282">
        <v>8943.0300000000007</v>
      </c>
      <c r="R282">
        <v>5165.38</v>
      </c>
      <c r="S282">
        <v>3777.65</v>
      </c>
      <c r="T282" t="s">
        <v>32</v>
      </c>
      <c r="U282" t="s">
        <v>33</v>
      </c>
      <c r="V282" t="str">
        <f>IF(OR(B282="Invalid Date",C282="Invalid Date"),"Invalid Date",C282-B282)</f>
        <v>Invalid Date</v>
      </c>
      <c r="W282" s="4" t="str">
        <f>IF(OR(B282="Invalid Date",C282="Invalid Date"),"Invalid Date",IF(C282&lt;B282,"Invalid Shipping","OK"))</f>
        <v>Invalid Date</v>
      </c>
      <c r="X282">
        <f t="shared" si="32"/>
        <v>1</v>
      </c>
      <c r="Y282">
        <f t="shared" si="33"/>
        <v>0</v>
      </c>
      <c r="Z282">
        <f t="shared" si="34"/>
        <v>8943.0299999999988</v>
      </c>
      <c r="AA282">
        <f t="shared" si="35"/>
        <v>3777.6499999999987</v>
      </c>
      <c r="AB282" s="6">
        <f t="shared" si="36"/>
        <v>0.42241276167026154</v>
      </c>
      <c r="AC282" t="str">
        <f t="shared" si="37"/>
        <v/>
      </c>
      <c r="AD282" t="str">
        <f t="shared" si="38"/>
        <v/>
      </c>
      <c r="AE282" t="str">
        <f t="shared" si="39"/>
        <v>Invalid</v>
      </c>
    </row>
    <row r="283" spans="1:31">
      <c r="A283" t="s">
        <v>949</v>
      </c>
      <c r="B283" s="3">
        <v>45863</v>
      </c>
      <c r="C283" s="3" t="s">
        <v>2763</v>
      </c>
      <c r="D283" t="s">
        <v>950</v>
      </c>
      <c r="E283" t="s">
        <v>264</v>
      </c>
      <c r="F283" t="s">
        <v>24</v>
      </c>
      <c r="G283" t="s">
        <v>38</v>
      </c>
      <c r="H283" t="s">
        <v>228</v>
      </c>
      <c r="I283" t="s">
        <v>229</v>
      </c>
      <c r="J283" t="s">
        <v>28</v>
      </c>
      <c r="K283" t="s">
        <v>153</v>
      </c>
      <c r="L283" t="s">
        <v>951</v>
      </c>
      <c r="M283" t="s">
        <v>31</v>
      </c>
      <c r="N283">
        <v>6</v>
      </c>
      <c r="O283">
        <v>3438.38</v>
      </c>
      <c r="P283">
        <v>0.2</v>
      </c>
      <c r="Q283">
        <v>16504.22</v>
      </c>
      <c r="R283">
        <v>11262.71</v>
      </c>
      <c r="S283">
        <v>5241.51</v>
      </c>
      <c r="T283" t="s">
        <v>32</v>
      </c>
      <c r="U283" t="s">
        <v>33</v>
      </c>
      <c r="V283" t="str">
        <f>IF(OR(B283="Invalid Date",C283="Invalid Date"),"Invalid Date",C283-B283)</f>
        <v>Invalid Date</v>
      </c>
      <c r="W283" s="4" t="str">
        <f>IF(OR(B283="Invalid Date",C283="Invalid Date"),"Invalid Date",IF(C283&lt;B283,"Invalid Shipping","OK"))</f>
        <v>Invalid Date</v>
      </c>
      <c r="X283">
        <f t="shared" si="32"/>
        <v>1</v>
      </c>
      <c r="Y283">
        <f t="shared" si="33"/>
        <v>0.2</v>
      </c>
      <c r="Z283">
        <f t="shared" si="34"/>
        <v>16504.223999999998</v>
      </c>
      <c r="AA283">
        <f t="shared" si="35"/>
        <v>5241.5139999999992</v>
      </c>
      <c r="AB283" s="6">
        <f t="shared" si="36"/>
        <v>0.31758621308096641</v>
      </c>
      <c r="AC283" t="str">
        <f t="shared" si="37"/>
        <v>July</v>
      </c>
      <c r="AD283">
        <f t="shared" si="38"/>
        <v>2025</v>
      </c>
      <c r="AE283" t="str">
        <f t="shared" si="39"/>
        <v>Invalid</v>
      </c>
    </row>
    <row r="284" spans="1:31">
      <c r="A284" t="s">
        <v>952</v>
      </c>
      <c r="B284" s="3">
        <v>45566</v>
      </c>
      <c r="C284" s="3">
        <v>45332</v>
      </c>
      <c r="D284" t="s">
        <v>953</v>
      </c>
      <c r="E284" t="s">
        <v>23</v>
      </c>
      <c r="F284" t="s">
        <v>95</v>
      </c>
      <c r="G284" t="s">
        <v>38</v>
      </c>
      <c r="H284" t="s">
        <v>166</v>
      </c>
      <c r="I284" t="s">
        <v>167</v>
      </c>
      <c r="J284" t="s">
        <v>41</v>
      </c>
      <c r="K284" t="s">
        <v>42</v>
      </c>
      <c r="L284" t="s">
        <v>954</v>
      </c>
      <c r="M284" t="s">
        <v>31</v>
      </c>
      <c r="N284">
        <v>2</v>
      </c>
      <c r="O284">
        <v>2298</v>
      </c>
      <c r="P284">
        <v>0</v>
      </c>
      <c r="Q284">
        <v>4596</v>
      </c>
      <c r="R284">
        <v>3220.33</v>
      </c>
      <c r="S284">
        <v>1375.67</v>
      </c>
      <c r="T284" t="s">
        <v>32</v>
      </c>
      <c r="U284" t="s">
        <v>33</v>
      </c>
      <c r="V284">
        <f>IF(OR(B284="Invalid Date",C284="Invalid Date"),"Invalid Date",C284-B284)</f>
        <v>-234</v>
      </c>
      <c r="W284" s="4" t="str">
        <f>IF(OR(B284="Invalid Date",C284="Invalid Date"),"Invalid Date",IF(C284&lt;B284,"Invalid Shipping","OK"))</f>
        <v>Invalid Shipping</v>
      </c>
      <c r="X284">
        <f t="shared" si="32"/>
        <v>1</v>
      </c>
      <c r="Y284">
        <f t="shared" si="33"/>
        <v>0</v>
      </c>
      <c r="Z284">
        <f t="shared" si="34"/>
        <v>4596</v>
      </c>
      <c r="AA284">
        <f t="shared" si="35"/>
        <v>1375.67</v>
      </c>
      <c r="AB284" s="6">
        <f t="shared" si="36"/>
        <v>0.29931897302001742</v>
      </c>
      <c r="AC284" t="str">
        <f t="shared" si="37"/>
        <v>October</v>
      </c>
      <c r="AD284">
        <f t="shared" si="38"/>
        <v>2024</v>
      </c>
      <c r="AE284" t="str">
        <f t="shared" si="39"/>
        <v>Invalid</v>
      </c>
    </row>
    <row r="285" spans="1:31">
      <c r="A285" t="s">
        <v>955</v>
      </c>
      <c r="B285" s="3" t="s">
        <v>2763</v>
      </c>
      <c r="C285" s="3">
        <v>45736</v>
      </c>
      <c r="D285" t="s">
        <v>956</v>
      </c>
      <c r="E285" t="s">
        <v>71</v>
      </c>
      <c r="F285" t="s">
        <v>24</v>
      </c>
      <c r="G285" t="s">
        <v>63</v>
      </c>
      <c r="H285" t="s">
        <v>64</v>
      </c>
      <c r="I285" t="s">
        <v>65</v>
      </c>
      <c r="J285" t="s">
        <v>41</v>
      </c>
      <c r="K285" t="s">
        <v>57</v>
      </c>
      <c r="L285" t="s">
        <v>957</v>
      </c>
      <c r="M285" t="s">
        <v>50</v>
      </c>
      <c r="N285">
        <v>1</v>
      </c>
      <c r="O285">
        <v>1814.01</v>
      </c>
      <c r="P285">
        <v>0</v>
      </c>
      <c r="Q285">
        <v>1814.01</v>
      </c>
      <c r="R285">
        <v>1033.47</v>
      </c>
      <c r="S285">
        <v>780.54</v>
      </c>
      <c r="T285" t="s">
        <v>32</v>
      </c>
      <c r="U285" t="s">
        <v>33</v>
      </c>
      <c r="V285" t="str">
        <f>IF(OR(B285="Invalid Date",C285="Invalid Date"),"Invalid Date",C285-B285)</f>
        <v>Invalid Date</v>
      </c>
      <c r="W285" s="4" t="str">
        <f>IF(OR(B285="Invalid Date",C285="Invalid Date"),"Invalid Date",IF(C285&lt;B285,"Invalid Shipping","OK"))</f>
        <v>Invalid Date</v>
      </c>
      <c r="X285">
        <f t="shared" si="32"/>
        <v>1</v>
      </c>
      <c r="Y285">
        <f t="shared" si="33"/>
        <v>0</v>
      </c>
      <c r="Z285">
        <f t="shared" si="34"/>
        <v>1814.01</v>
      </c>
      <c r="AA285">
        <f t="shared" si="35"/>
        <v>780.54</v>
      </c>
      <c r="AB285" s="6">
        <f t="shared" si="36"/>
        <v>0.43028428729720342</v>
      </c>
      <c r="AC285" t="str">
        <f t="shared" si="37"/>
        <v/>
      </c>
      <c r="AD285" t="str">
        <f t="shared" si="38"/>
        <v/>
      </c>
      <c r="AE285" t="str">
        <f t="shared" si="39"/>
        <v>Invalid</v>
      </c>
    </row>
    <row r="286" spans="1:31">
      <c r="A286" t="s">
        <v>958</v>
      </c>
      <c r="B286" s="3">
        <v>45516</v>
      </c>
      <c r="C286" s="3" t="s">
        <v>2763</v>
      </c>
      <c r="D286" t="s">
        <v>959</v>
      </c>
      <c r="E286" t="s">
        <v>23</v>
      </c>
      <c r="F286" t="s">
        <v>24</v>
      </c>
      <c r="G286" t="s">
        <v>38</v>
      </c>
      <c r="H286" t="s">
        <v>39</v>
      </c>
      <c r="I286" t="s">
        <v>40</v>
      </c>
      <c r="J286" t="s">
        <v>41</v>
      </c>
      <c r="K286" t="s">
        <v>42</v>
      </c>
      <c r="L286" t="s">
        <v>960</v>
      </c>
      <c r="M286" t="s">
        <v>44</v>
      </c>
      <c r="N286">
        <v>3</v>
      </c>
      <c r="O286">
        <v>1576.92</v>
      </c>
      <c r="P286">
        <v>0</v>
      </c>
      <c r="Q286">
        <v>4730.76</v>
      </c>
      <c r="R286">
        <v>3139.73</v>
      </c>
      <c r="S286">
        <v>1591.03</v>
      </c>
      <c r="T286" t="s">
        <v>32</v>
      </c>
      <c r="U286" t="s">
        <v>103</v>
      </c>
      <c r="V286" t="str">
        <f>IF(OR(B286="Invalid Date",C286="Invalid Date"),"Invalid Date",C286-B286)</f>
        <v>Invalid Date</v>
      </c>
      <c r="W286" s="4" t="str">
        <f>IF(OR(B286="Invalid Date",C286="Invalid Date"),"Invalid Date",IF(C286&lt;B286,"Invalid Shipping","OK"))</f>
        <v>Invalid Date</v>
      </c>
      <c r="X286">
        <f t="shared" si="32"/>
        <v>1</v>
      </c>
      <c r="Y286">
        <f t="shared" si="33"/>
        <v>0</v>
      </c>
      <c r="Z286">
        <f t="shared" si="34"/>
        <v>4730.76</v>
      </c>
      <c r="AA286">
        <f t="shared" si="35"/>
        <v>1591.0300000000002</v>
      </c>
      <c r="AB286" s="6">
        <f t="shared" si="36"/>
        <v>0.33631594077907145</v>
      </c>
      <c r="AC286" t="str">
        <f t="shared" si="37"/>
        <v>August</v>
      </c>
      <c r="AD286">
        <f t="shared" si="38"/>
        <v>2024</v>
      </c>
      <c r="AE286" t="str">
        <f t="shared" si="39"/>
        <v>Invalid</v>
      </c>
    </row>
    <row r="287" spans="1:31">
      <c r="A287" t="s">
        <v>961</v>
      </c>
      <c r="B287" s="3">
        <v>45884</v>
      </c>
      <c r="C287" s="3">
        <v>45889</v>
      </c>
      <c r="D287" t="s">
        <v>962</v>
      </c>
      <c r="E287" t="s">
        <v>79</v>
      </c>
      <c r="F287" t="s">
        <v>95</v>
      </c>
      <c r="G287" t="s">
        <v>25</v>
      </c>
      <c r="H287" t="s">
        <v>26</v>
      </c>
      <c r="I287" t="s">
        <v>27</v>
      </c>
      <c r="J287" t="s">
        <v>28</v>
      </c>
      <c r="K287" t="s">
        <v>124</v>
      </c>
      <c r="L287" t="s">
        <v>963</v>
      </c>
      <c r="M287" t="s">
        <v>59</v>
      </c>
      <c r="N287">
        <v>9</v>
      </c>
      <c r="O287">
        <v>4081.77</v>
      </c>
      <c r="P287">
        <v>0</v>
      </c>
      <c r="Q287">
        <v>36735.93</v>
      </c>
      <c r="R287">
        <v>30820.84</v>
      </c>
      <c r="S287">
        <v>5915.09</v>
      </c>
      <c r="T287" t="s">
        <v>32</v>
      </c>
      <c r="U287" t="s">
        <v>33</v>
      </c>
      <c r="V287">
        <f>IF(OR(B287="Invalid Date",C287="Invalid Date"),"Invalid Date",C287-B287)</f>
        <v>5</v>
      </c>
      <c r="W287" s="4" t="str">
        <f>IF(OR(B287="Invalid Date",C287="Invalid Date"),"Invalid Date",IF(C287&lt;B287,"Invalid Shipping","OK"))</f>
        <v>OK</v>
      </c>
      <c r="X287">
        <f t="shared" si="32"/>
        <v>1</v>
      </c>
      <c r="Y287">
        <f t="shared" si="33"/>
        <v>0</v>
      </c>
      <c r="Z287">
        <f t="shared" si="34"/>
        <v>36735.93</v>
      </c>
      <c r="AA287">
        <f t="shared" si="35"/>
        <v>5915.09</v>
      </c>
      <c r="AB287" s="6">
        <f t="shared" si="36"/>
        <v>0.16101647624001897</v>
      </c>
      <c r="AC287" t="str">
        <f t="shared" si="37"/>
        <v>August</v>
      </c>
      <c r="AD287">
        <f t="shared" si="38"/>
        <v>2025</v>
      </c>
      <c r="AE287" t="str">
        <f t="shared" si="39"/>
        <v>Clean</v>
      </c>
    </row>
    <row r="288" spans="1:31">
      <c r="A288" t="s">
        <v>964</v>
      </c>
      <c r="B288" s="3">
        <v>45350</v>
      </c>
      <c r="C288" s="3">
        <v>45325</v>
      </c>
      <c r="D288" t="s">
        <v>965</v>
      </c>
      <c r="E288" t="s">
        <v>114</v>
      </c>
      <c r="F288" t="s">
        <v>37</v>
      </c>
      <c r="G288" t="s">
        <v>25</v>
      </c>
      <c r="H288" t="s">
        <v>350</v>
      </c>
      <c r="I288" t="s">
        <v>351</v>
      </c>
      <c r="J288" t="s">
        <v>41</v>
      </c>
      <c r="K288" t="s">
        <v>57</v>
      </c>
      <c r="L288" t="s">
        <v>966</v>
      </c>
      <c r="M288" t="s">
        <v>50</v>
      </c>
      <c r="N288">
        <v>7</v>
      </c>
      <c r="O288">
        <v>701.8</v>
      </c>
      <c r="P288">
        <v>0.1</v>
      </c>
      <c r="Q288">
        <v>4421.34</v>
      </c>
      <c r="R288">
        <v>2489.98</v>
      </c>
      <c r="S288">
        <v>1931.36</v>
      </c>
      <c r="T288" t="s">
        <v>111</v>
      </c>
      <c r="U288" t="s">
        <v>103</v>
      </c>
      <c r="V288">
        <f>IF(OR(B288="Invalid Date",C288="Invalid Date"),"Invalid Date",C288-B288)</f>
        <v>-25</v>
      </c>
      <c r="W288" s="4" t="str">
        <f>IF(OR(B288="Invalid Date",C288="Invalid Date"),"Invalid Date",IF(C288&lt;B288,"Invalid Shipping","OK"))</f>
        <v>Invalid Shipping</v>
      </c>
      <c r="X288">
        <f t="shared" si="32"/>
        <v>1</v>
      </c>
      <c r="Y288">
        <f t="shared" si="33"/>
        <v>0.1</v>
      </c>
      <c r="Z288">
        <f t="shared" si="34"/>
        <v>4421.3399999999992</v>
      </c>
      <c r="AA288">
        <f t="shared" si="35"/>
        <v>1931.3599999999992</v>
      </c>
      <c r="AB288" s="6">
        <f t="shared" si="36"/>
        <v>0.43682684435035524</v>
      </c>
      <c r="AC288" t="str">
        <f t="shared" si="37"/>
        <v>February</v>
      </c>
      <c r="AD288">
        <f t="shared" si="38"/>
        <v>2024</v>
      </c>
      <c r="AE288" t="str">
        <f t="shared" si="39"/>
        <v>Invalid</v>
      </c>
    </row>
    <row r="289" spans="1:31">
      <c r="A289" t="s">
        <v>967</v>
      </c>
      <c r="B289" s="3">
        <v>45421</v>
      </c>
      <c r="C289" s="3">
        <v>45542</v>
      </c>
      <c r="D289" t="s">
        <v>968</v>
      </c>
      <c r="E289" t="s">
        <v>79</v>
      </c>
      <c r="F289" t="s">
        <v>37</v>
      </c>
      <c r="G289" t="s">
        <v>54</v>
      </c>
      <c r="H289" t="s">
        <v>247</v>
      </c>
      <c r="I289" t="s">
        <v>248</v>
      </c>
      <c r="J289" t="s">
        <v>74</v>
      </c>
      <c r="K289" t="s">
        <v>80</v>
      </c>
      <c r="L289" t="s">
        <v>969</v>
      </c>
      <c r="M289" t="s">
        <v>59</v>
      </c>
      <c r="N289">
        <v>3</v>
      </c>
      <c r="O289">
        <v>2555.66</v>
      </c>
      <c r="P289">
        <v>0.15</v>
      </c>
      <c r="Q289">
        <v>6516.93</v>
      </c>
      <c r="R289">
        <v>4511.54</v>
      </c>
      <c r="S289">
        <v>2005.39</v>
      </c>
      <c r="T289" t="s">
        <v>32</v>
      </c>
      <c r="U289" t="s">
        <v>68</v>
      </c>
      <c r="V289">
        <f>IF(OR(B289="Invalid Date",C289="Invalid Date"),"Invalid Date",C289-B289)</f>
        <v>121</v>
      </c>
      <c r="W289" s="4" t="str">
        <f>IF(OR(B289="Invalid Date",C289="Invalid Date"),"Invalid Date",IF(C289&lt;B289,"Invalid Shipping","OK"))</f>
        <v>OK</v>
      </c>
      <c r="X289">
        <f t="shared" si="32"/>
        <v>1</v>
      </c>
      <c r="Y289">
        <f t="shared" si="33"/>
        <v>0.15</v>
      </c>
      <c r="Z289">
        <f t="shared" si="34"/>
        <v>6516.9329999999991</v>
      </c>
      <c r="AA289">
        <f t="shared" si="35"/>
        <v>2005.3929999999991</v>
      </c>
      <c r="AB289" s="6">
        <f t="shared" si="36"/>
        <v>0.30772036477895343</v>
      </c>
      <c r="AC289" t="str">
        <f t="shared" si="37"/>
        <v>May</v>
      </c>
      <c r="AD289">
        <f t="shared" si="38"/>
        <v>2024</v>
      </c>
      <c r="AE289" t="str">
        <f t="shared" si="39"/>
        <v>Clean</v>
      </c>
    </row>
    <row r="290" spans="1:31">
      <c r="A290" t="s">
        <v>970</v>
      </c>
      <c r="B290" s="3">
        <v>45467</v>
      </c>
      <c r="C290" s="3">
        <v>45467</v>
      </c>
      <c r="D290" t="s">
        <v>971</v>
      </c>
      <c r="E290" t="s">
        <v>141</v>
      </c>
      <c r="F290" t="s">
        <v>37</v>
      </c>
      <c r="G290" t="s">
        <v>38</v>
      </c>
      <c r="H290" t="s">
        <v>145</v>
      </c>
      <c r="I290" t="s">
        <v>146</v>
      </c>
      <c r="J290" t="s">
        <v>28</v>
      </c>
      <c r="K290" t="s">
        <v>153</v>
      </c>
      <c r="L290" t="s">
        <v>972</v>
      </c>
      <c r="M290" t="s">
        <v>44</v>
      </c>
      <c r="N290">
        <v>2</v>
      </c>
      <c r="O290">
        <v>4359.8999999999996</v>
      </c>
      <c r="P290">
        <v>0.15</v>
      </c>
      <c r="Q290">
        <v>7411.83</v>
      </c>
      <c r="R290">
        <v>4904.63</v>
      </c>
      <c r="S290">
        <v>2507.1999999999998</v>
      </c>
      <c r="T290" t="s">
        <v>32</v>
      </c>
      <c r="U290" t="s">
        <v>33</v>
      </c>
      <c r="V290">
        <f>IF(OR(B290="Invalid Date",C290="Invalid Date"),"Invalid Date",C290-B290)</f>
        <v>0</v>
      </c>
      <c r="W290" s="4" t="str">
        <f>IF(OR(B290="Invalid Date",C290="Invalid Date"),"Invalid Date",IF(C290&lt;B290,"Invalid Shipping","OK"))</f>
        <v>OK</v>
      </c>
      <c r="X290">
        <f t="shared" si="32"/>
        <v>1</v>
      </c>
      <c r="Y290">
        <f t="shared" si="33"/>
        <v>0.15</v>
      </c>
      <c r="Z290">
        <f t="shared" si="34"/>
        <v>7411.829999999999</v>
      </c>
      <c r="AA290">
        <f t="shared" si="35"/>
        <v>2507.1999999999989</v>
      </c>
      <c r="AB290" s="6">
        <f t="shared" si="36"/>
        <v>0.3382700358750807</v>
      </c>
      <c r="AC290" t="str">
        <f t="shared" si="37"/>
        <v>June</v>
      </c>
      <c r="AD290">
        <f t="shared" si="38"/>
        <v>2024</v>
      </c>
      <c r="AE290" t="str">
        <f t="shared" si="39"/>
        <v>Clean</v>
      </c>
    </row>
    <row r="291" spans="1:31">
      <c r="A291" t="s">
        <v>973</v>
      </c>
      <c r="B291" s="3">
        <v>45827</v>
      </c>
      <c r="C291" s="3" t="s">
        <v>2763</v>
      </c>
      <c r="D291" t="s">
        <v>974</v>
      </c>
      <c r="E291" t="s">
        <v>23</v>
      </c>
      <c r="F291" t="s">
        <v>95</v>
      </c>
      <c r="G291" t="s">
        <v>54</v>
      </c>
      <c r="H291" t="s">
        <v>247</v>
      </c>
      <c r="I291" t="s">
        <v>248</v>
      </c>
      <c r="J291" t="s">
        <v>41</v>
      </c>
      <c r="K291" t="s">
        <v>158</v>
      </c>
      <c r="L291" t="s">
        <v>975</v>
      </c>
      <c r="M291" t="s">
        <v>50</v>
      </c>
      <c r="N291">
        <v>2</v>
      </c>
      <c r="O291">
        <v>4346.6899999999996</v>
      </c>
      <c r="P291">
        <v>0.05</v>
      </c>
      <c r="Q291">
        <v>8258.7099999999991</v>
      </c>
      <c r="R291">
        <v>7018.97</v>
      </c>
      <c r="S291">
        <v>1239.74</v>
      </c>
      <c r="T291" t="s">
        <v>32</v>
      </c>
      <c r="U291" t="s">
        <v>33</v>
      </c>
      <c r="V291" t="str">
        <f>IF(OR(B291="Invalid Date",C291="Invalid Date"),"Invalid Date",C291-B291)</f>
        <v>Invalid Date</v>
      </c>
      <c r="W291" s="4" t="str">
        <f>IF(OR(B291="Invalid Date",C291="Invalid Date"),"Invalid Date",IF(C291&lt;B291,"Invalid Shipping","OK"))</f>
        <v>Invalid Date</v>
      </c>
      <c r="X291">
        <f t="shared" si="32"/>
        <v>1</v>
      </c>
      <c r="Y291">
        <f t="shared" si="33"/>
        <v>0.05</v>
      </c>
      <c r="Z291">
        <f t="shared" si="34"/>
        <v>8258.7109999999993</v>
      </c>
      <c r="AA291">
        <f t="shared" si="35"/>
        <v>1239.7409999999991</v>
      </c>
      <c r="AB291" s="6">
        <f t="shared" si="36"/>
        <v>0.15011313508851432</v>
      </c>
      <c r="AC291" t="str">
        <f t="shared" si="37"/>
        <v>June</v>
      </c>
      <c r="AD291">
        <f t="shared" si="38"/>
        <v>2025</v>
      </c>
      <c r="AE291" t="str">
        <f t="shared" si="39"/>
        <v>Invalid</v>
      </c>
    </row>
    <row r="292" spans="1:31">
      <c r="A292" t="s">
        <v>976</v>
      </c>
      <c r="B292" s="3">
        <v>45891</v>
      </c>
      <c r="C292" s="3">
        <v>45895</v>
      </c>
      <c r="D292" t="s">
        <v>977</v>
      </c>
      <c r="E292" t="s">
        <v>162</v>
      </c>
      <c r="F292" t="s">
        <v>95</v>
      </c>
      <c r="G292" t="s">
        <v>38</v>
      </c>
      <c r="H292" t="s">
        <v>228</v>
      </c>
      <c r="I292" t="s">
        <v>229</v>
      </c>
      <c r="J292" t="s">
        <v>41</v>
      </c>
      <c r="K292" t="s">
        <v>42</v>
      </c>
      <c r="L292" t="s">
        <v>978</v>
      </c>
      <c r="M292" t="s">
        <v>59</v>
      </c>
      <c r="N292">
        <v>1</v>
      </c>
      <c r="O292">
        <v>1842.63</v>
      </c>
      <c r="P292">
        <v>0.1</v>
      </c>
      <c r="Q292">
        <v>1658.37</v>
      </c>
      <c r="R292">
        <v>971.12</v>
      </c>
      <c r="S292">
        <v>687.25</v>
      </c>
      <c r="T292" t="s">
        <v>32</v>
      </c>
      <c r="U292" t="s">
        <v>33</v>
      </c>
      <c r="V292">
        <f>IF(OR(B292="Invalid Date",C292="Invalid Date"),"Invalid Date",C292-B292)</f>
        <v>4</v>
      </c>
      <c r="W292" s="4" t="str">
        <f>IF(OR(B292="Invalid Date",C292="Invalid Date"),"Invalid Date",IF(C292&lt;B292,"Invalid Shipping","OK"))</f>
        <v>OK</v>
      </c>
      <c r="X292">
        <f t="shared" si="32"/>
        <v>1</v>
      </c>
      <c r="Y292">
        <f t="shared" si="33"/>
        <v>0.1</v>
      </c>
      <c r="Z292">
        <f t="shared" si="34"/>
        <v>1658.3670000000002</v>
      </c>
      <c r="AA292">
        <f t="shared" si="35"/>
        <v>687.24700000000018</v>
      </c>
      <c r="AB292" s="6">
        <f t="shared" si="36"/>
        <v>0.41441188832146331</v>
      </c>
      <c r="AC292" t="str">
        <f t="shared" si="37"/>
        <v>August</v>
      </c>
      <c r="AD292">
        <f t="shared" si="38"/>
        <v>2025</v>
      </c>
      <c r="AE292" t="str">
        <f t="shared" si="39"/>
        <v>Clean</v>
      </c>
    </row>
    <row r="293" spans="1:31">
      <c r="A293" t="s">
        <v>979</v>
      </c>
      <c r="B293" s="3">
        <v>45416</v>
      </c>
      <c r="C293" s="3">
        <v>45392</v>
      </c>
      <c r="D293" t="s">
        <v>980</v>
      </c>
      <c r="E293" t="s">
        <v>114</v>
      </c>
      <c r="F293" t="s">
        <v>95</v>
      </c>
      <c r="G293" t="s">
        <v>25</v>
      </c>
      <c r="H293" t="s">
        <v>26</v>
      </c>
      <c r="I293" t="s">
        <v>27</v>
      </c>
      <c r="J293" t="s">
        <v>28</v>
      </c>
      <c r="K293" t="s">
        <v>153</v>
      </c>
      <c r="L293" t="s">
        <v>981</v>
      </c>
      <c r="M293" t="s">
        <v>59</v>
      </c>
      <c r="N293">
        <v>4</v>
      </c>
      <c r="O293">
        <v>3228.66</v>
      </c>
      <c r="P293">
        <v>0.25</v>
      </c>
      <c r="Q293">
        <v>9685.98</v>
      </c>
      <c r="R293">
        <v>7730.04</v>
      </c>
      <c r="S293">
        <v>1955.94</v>
      </c>
      <c r="T293" t="s">
        <v>32</v>
      </c>
      <c r="U293" t="s">
        <v>33</v>
      </c>
      <c r="V293">
        <f>IF(OR(B293="Invalid Date",C293="Invalid Date"),"Invalid Date",C293-B293)</f>
        <v>-24</v>
      </c>
      <c r="W293" s="4" t="str">
        <f>IF(OR(B293="Invalid Date",C293="Invalid Date"),"Invalid Date",IF(C293&lt;B293,"Invalid Shipping","OK"))</f>
        <v>Invalid Shipping</v>
      </c>
      <c r="X293">
        <f t="shared" si="32"/>
        <v>1</v>
      </c>
      <c r="Y293">
        <f t="shared" si="33"/>
        <v>0.25</v>
      </c>
      <c r="Z293">
        <f t="shared" si="34"/>
        <v>9685.98</v>
      </c>
      <c r="AA293">
        <f t="shared" si="35"/>
        <v>1955.9399999999996</v>
      </c>
      <c r="AB293" s="6">
        <f t="shared" si="36"/>
        <v>0.20193516815025425</v>
      </c>
      <c r="AC293" t="str">
        <f t="shared" si="37"/>
        <v>May</v>
      </c>
      <c r="AD293">
        <f t="shared" si="38"/>
        <v>2024</v>
      </c>
      <c r="AE293" t="str">
        <f t="shared" si="39"/>
        <v>Invalid</v>
      </c>
    </row>
    <row r="294" spans="1:31">
      <c r="A294" t="s">
        <v>982</v>
      </c>
      <c r="B294" s="3">
        <v>45716</v>
      </c>
      <c r="C294" s="3">
        <v>45719</v>
      </c>
      <c r="D294" t="s">
        <v>983</v>
      </c>
      <c r="E294" t="s">
        <v>264</v>
      </c>
      <c r="F294" t="s">
        <v>95</v>
      </c>
      <c r="G294" t="s">
        <v>25</v>
      </c>
      <c r="H294" t="s">
        <v>236</v>
      </c>
      <c r="I294" t="s">
        <v>237</v>
      </c>
      <c r="J294" t="s">
        <v>28</v>
      </c>
      <c r="K294" t="s">
        <v>48</v>
      </c>
      <c r="L294" t="s">
        <v>984</v>
      </c>
      <c r="M294" t="s">
        <v>44</v>
      </c>
      <c r="N294">
        <v>9</v>
      </c>
      <c r="O294">
        <v>3748.95</v>
      </c>
      <c r="P294">
        <v>0</v>
      </c>
      <c r="Q294">
        <v>33740.550000000003</v>
      </c>
      <c r="R294">
        <v>24621.89</v>
      </c>
      <c r="S294">
        <v>9118.66</v>
      </c>
      <c r="T294" t="s">
        <v>111</v>
      </c>
      <c r="U294" t="s">
        <v>68</v>
      </c>
      <c r="V294">
        <f>IF(OR(B294="Invalid Date",C294="Invalid Date"),"Invalid Date",C294-B294)</f>
        <v>3</v>
      </c>
      <c r="W294" s="4" t="str">
        <f>IF(OR(B294="Invalid Date",C294="Invalid Date"),"Invalid Date",IF(C294&lt;B294,"Invalid Shipping","OK"))</f>
        <v>OK</v>
      </c>
      <c r="X294">
        <f t="shared" si="32"/>
        <v>1</v>
      </c>
      <c r="Y294">
        <f t="shared" si="33"/>
        <v>0</v>
      </c>
      <c r="Z294">
        <f t="shared" si="34"/>
        <v>33740.549999999996</v>
      </c>
      <c r="AA294">
        <f t="shared" si="35"/>
        <v>9118.6599999999962</v>
      </c>
      <c r="AB294" s="6">
        <f t="shared" si="36"/>
        <v>0.2702581908119458</v>
      </c>
      <c r="AC294" t="str">
        <f t="shared" si="37"/>
        <v>February</v>
      </c>
      <c r="AD294">
        <f t="shared" si="38"/>
        <v>2025</v>
      </c>
      <c r="AE294" t="str">
        <f t="shared" si="39"/>
        <v>Clean</v>
      </c>
    </row>
    <row r="295" spans="1:31">
      <c r="A295" t="s">
        <v>985</v>
      </c>
      <c r="B295" s="3">
        <v>45476</v>
      </c>
      <c r="C295" s="3">
        <v>45362</v>
      </c>
      <c r="D295" t="s">
        <v>986</v>
      </c>
      <c r="E295" t="s">
        <v>53</v>
      </c>
      <c r="F295" t="s">
        <v>95</v>
      </c>
      <c r="G295" t="s">
        <v>54</v>
      </c>
      <c r="H295" t="s">
        <v>55</v>
      </c>
      <c r="I295" t="s">
        <v>56</v>
      </c>
      <c r="J295" t="s">
        <v>74</v>
      </c>
      <c r="K295" t="s">
        <v>171</v>
      </c>
      <c r="L295" t="s">
        <v>987</v>
      </c>
      <c r="M295" t="s">
        <v>50</v>
      </c>
      <c r="N295">
        <v>2</v>
      </c>
      <c r="O295">
        <v>4401.51</v>
      </c>
      <c r="P295">
        <v>0.65</v>
      </c>
      <c r="Q295">
        <v>8362.8700000000008</v>
      </c>
      <c r="R295">
        <v>6541.04</v>
      </c>
      <c r="S295">
        <v>1821.83</v>
      </c>
      <c r="T295" t="s">
        <v>32</v>
      </c>
      <c r="U295" t="s">
        <v>33</v>
      </c>
      <c r="V295">
        <f>IF(OR(B295="Invalid Date",C295="Invalid Date"),"Invalid Date",C295-B295)</f>
        <v>-114</v>
      </c>
      <c r="W295" s="4" t="str">
        <f>IF(OR(B295="Invalid Date",C295="Invalid Date"),"Invalid Date",IF(C295&lt;B295,"Invalid Shipping","OK"))</f>
        <v>Invalid Shipping</v>
      </c>
      <c r="X295">
        <f t="shared" si="32"/>
        <v>1</v>
      </c>
      <c r="Y295">
        <f t="shared" si="33"/>
        <v>0.65</v>
      </c>
      <c r="Z295">
        <f t="shared" si="34"/>
        <v>3081.0569999999998</v>
      </c>
      <c r="AA295">
        <f t="shared" si="35"/>
        <v>-3459.9830000000002</v>
      </c>
      <c r="AB295" s="6">
        <f t="shared" si="36"/>
        <v>-1.1229857156164267</v>
      </c>
      <c r="AC295" t="str">
        <f t="shared" si="37"/>
        <v>July</v>
      </c>
      <c r="AD295">
        <f t="shared" si="38"/>
        <v>2024</v>
      </c>
      <c r="AE295" t="str">
        <f t="shared" si="39"/>
        <v>Invalid</v>
      </c>
    </row>
    <row r="296" spans="1:31">
      <c r="A296" t="s">
        <v>988</v>
      </c>
      <c r="B296" s="3">
        <v>45854</v>
      </c>
      <c r="C296" s="3" t="s">
        <v>2763</v>
      </c>
      <c r="D296" t="s">
        <v>989</v>
      </c>
      <c r="E296" t="s">
        <v>114</v>
      </c>
      <c r="F296" t="s">
        <v>24</v>
      </c>
      <c r="G296" t="s">
        <v>38</v>
      </c>
      <c r="H296" t="s">
        <v>39</v>
      </c>
      <c r="I296" t="s">
        <v>40</v>
      </c>
      <c r="J296" t="s">
        <v>74</v>
      </c>
      <c r="K296" t="s">
        <v>171</v>
      </c>
      <c r="L296" t="s">
        <v>990</v>
      </c>
      <c r="M296" t="s">
        <v>31</v>
      </c>
      <c r="N296">
        <v>6</v>
      </c>
      <c r="O296">
        <v>4159.33</v>
      </c>
      <c r="P296">
        <v>0.25</v>
      </c>
      <c r="Q296">
        <v>18716.990000000002</v>
      </c>
      <c r="R296">
        <v>12282.43</v>
      </c>
      <c r="S296">
        <v>6434.56</v>
      </c>
      <c r="T296" t="s">
        <v>32</v>
      </c>
      <c r="U296" t="s">
        <v>103</v>
      </c>
      <c r="V296" t="str">
        <f>IF(OR(B296="Invalid Date",C296="Invalid Date"),"Invalid Date",C296-B296)</f>
        <v>Invalid Date</v>
      </c>
      <c r="W296" s="4" t="str">
        <f>IF(OR(B296="Invalid Date",C296="Invalid Date"),"Invalid Date",IF(C296&lt;B296,"Invalid Shipping","OK"))</f>
        <v>Invalid Date</v>
      </c>
      <c r="X296">
        <f t="shared" si="32"/>
        <v>1</v>
      </c>
      <c r="Y296">
        <f t="shared" si="33"/>
        <v>0.25</v>
      </c>
      <c r="Z296">
        <f t="shared" si="34"/>
        <v>18716.985000000001</v>
      </c>
      <c r="AA296">
        <f t="shared" si="35"/>
        <v>6434.5550000000003</v>
      </c>
      <c r="AB296" s="6">
        <f t="shared" si="36"/>
        <v>0.34378159730319813</v>
      </c>
      <c r="AC296" t="str">
        <f t="shared" si="37"/>
        <v>July</v>
      </c>
      <c r="AD296">
        <f t="shared" si="38"/>
        <v>2025</v>
      </c>
      <c r="AE296" t="str">
        <f t="shared" si="39"/>
        <v>Invalid</v>
      </c>
    </row>
    <row r="297" spans="1:31">
      <c r="A297" t="s">
        <v>991</v>
      </c>
      <c r="B297" s="3">
        <v>45833</v>
      </c>
      <c r="C297" s="3">
        <v>45836</v>
      </c>
      <c r="D297" t="s">
        <v>992</v>
      </c>
      <c r="E297" t="s">
        <v>89</v>
      </c>
      <c r="F297" t="s">
        <v>37</v>
      </c>
      <c r="G297" t="s">
        <v>38</v>
      </c>
      <c r="H297" t="s">
        <v>166</v>
      </c>
      <c r="I297" t="s">
        <v>167</v>
      </c>
      <c r="J297" t="s">
        <v>28</v>
      </c>
      <c r="K297" t="s">
        <v>153</v>
      </c>
      <c r="L297" t="s">
        <v>993</v>
      </c>
      <c r="M297" t="s">
        <v>59</v>
      </c>
      <c r="N297">
        <v>3</v>
      </c>
      <c r="O297">
        <v>3476.05</v>
      </c>
      <c r="P297">
        <v>0.1</v>
      </c>
      <c r="Q297">
        <v>9385.34</v>
      </c>
      <c r="R297">
        <v>5828.54</v>
      </c>
      <c r="S297">
        <v>3556.8</v>
      </c>
      <c r="T297" t="s">
        <v>32</v>
      </c>
      <c r="U297" t="s">
        <v>33</v>
      </c>
      <c r="V297">
        <f>IF(OR(B297="Invalid Date",C297="Invalid Date"),"Invalid Date",C297-B297)</f>
        <v>3</v>
      </c>
      <c r="W297" s="4" t="str">
        <f>IF(OR(B297="Invalid Date",C297="Invalid Date"),"Invalid Date",IF(C297&lt;B297,"Invalid Shipping","OK"))</f>
        <v>OK</v>
      </c>
      <c r="X297">
        <f t="shared" si="32"/>
        <v>1</v>
      </c>
      <c r="Y297">
        <f t="shared" si="33"/>
        <v>0.1</v>
      </c>
      <c r="Z297">
        <f t="shared" si="34"/>
        <v>9385.3350000000009</v>
      </c>
      <c r="AA297">
        <f t="shared" si="35"/>
        <v>3556.795000000001</v>
      </c>
      <c r="AB297" s="6">
        <f t="shared" si="36"/>
        <v>0.37897368607513748</v>
      </c>
      <c r="AC297" t="str">
        <f t="shared" si="37"/>
        <v>June</v>
      </c>
      <c r="AD297">
        <f t="shared" si="38"/>
        <v>2025</v>
      </c>
      <c r="AE297" t="str">
        <f t="shared" si="39"/>
        <v>Clean</v>
      </c>
    </row>
    <row r="298" spans="1:31">
      <c r="A298" t="s">
        <v>994</v>
      </c>
      <c r="B298" s="3">
        <v>45801</v>
      </c>
      <c r="C298" s="3" t="s">
        <v>2763</v>
      </c>
      <c r="D298" t="s">
        <v>995</v>
      </c>
      <c r="E298" t="s">
        <v>89</v>
      </c>
      <c r="F298" t="s">
        <v>95</v>
      </c>
      <c r="G298" t="s">
        <v>25</v>
      </c>
      <c r="H298" t="s">
        <v>236</v>
      </c>
      <c r="I298" t="s">
        <v>237</v>
      </c>
      <c r="J298" t="s">
        <v>41</v>
      </c>
      <c r="K298" t="s">
        <v>57</v>
      </c>
      <c r="L298" t="s">
        <v>996</v>
      </c>
      <c r="M298" t="s">
        <v>44</v>
      </c>
      <c r="N298">
        <v>6</v>
      </c>
      <c r="O298">
        <v>3495.41</v>
      </c>
      <c r="P298">
        <v>0.15</v>
      </c>
      <c r="Q298">
        <v>17826.59</v>
      </c>
      <c r="R298">
        <v>10855.35</v>
      </c>
      <c r="S298">
        <v>6971.24</v>
      </c>
      <c r="T298" t="s">
        <v>32</v>
      </c>
      <c r="U298" t="s">
        <v>33</v>
      </c>
      <c r="V298" t="str">
        <f>IF(OR(B298="Invalid Date",C298="Invalid Date"),"Invalid Date",C298-B298)</f>
        <v>Invalid Date</v>
      </c>
      <c r="W298" s="4" t="str">
        <f>IF(OR(B298="Invalid Date",C298="Invalid Date"),"Invalid Date",IF(C298&lt;B298,"Invalid Shipping","OK"))</f>
        <v>Invalid Date</v>
      </c>
      <c r="X298">
        <f t="shared" si="32"/>
        <v>1</v>
      </c>
      <c r="Y298">
        <f t="shared" si="33"/>
        <v>0.15</v>
      </c>
      <c r="Z298">
        <f t="shared" si="34"/>
        <v>17826.591</v>
      </c>
      <c r="AA298">
        <f t="shared" si="35"/>
        <v>6971.241</v>
      </c>
      <c r="AB298" s="6">
        <f t="shared" si="36"/>
        <v>0.39105855965394615</v>
      </c>
      <c r="AC298" t="str">
        <f t="shared" si="37"/>
        <v>May</v>
      </c>
      <c r="AD298">
        <f t="shared" si="38"/>
        <v>2025</v>
      </c>
      <c r="AE298" t="str">
        <f t="shared" si="39"/>
        <v>Invalid</v>
      </c>
    </row>
    <row r="299" spans="1:31">
      <c r="A299" t="s">
        <v>997</v>
      </c>
      <c r="B299" s="3">
        <v>45594</v>
      </c>
      <c r="C299" s="3">
        <v>45602</v>
      </c>
      <c r="D299" t="s">
        <v>998</v>
      </c>
      <c r="E299" t="s">
        <v>132</v>
      </c>
      <c r="F299" t="s">
        <v>90</v>
      </c>
      <c r="G299" t="s">
        <v>54</v>
      </c>
      <c r="H299" t="s">
        <v>247</v>
      </c>
      <c r="I299" t="s">
        <v>248</v>
      </c>
      <c r="J299" t="s">
        <v>74</v>
      </c>
      <c r="K299" t="s">
        <v>80</v>
      </c>
      <c r="L299" t="s">
        <v>999</v>
      </c>
      <c r="M299" t="s">
        <v>44</v>
      </c>
      <c r="N299">
        <v>6</v>
      </c>
      <c r="O299">
        <v>1169.92</v>
      </c>
      <c r="P299">
        <v>0.15</v>
      </c>
      <c r="Q299">
        <v>5966.59</v>
      </c>
      <c r="R299">
        <v>3994.72</v>
      </c>
      <c r="S299">
        <v>1971.87</v>
      </c>
      <c r="T299" t="s">
        <v>32</v>
      </c>
      <c r="U299" t="s">
        <v>33</v>
      </c>
      <c r="V299">
        <f>IF(OR(B299="Invalid Date",C299="Invalid Date"),"Invalid Date",C299-B299)</f>
        <v>8</v>
      </c>
      <c r="W299" s="4" t="str">
        <f>IF(OR(B299="Invalid Date",C299="Invalid Date"),"Invalid Date",IF(C299&lt;B299,"Invalid Shipping","OK"))</f>
        <v>OK</v>
      </c>
      <c r="X299">
        <f t="shared" si="32"/>
        <v>1</v>
      </c>
      <c r="Y299">
        <f t="shared" si="33"/>
        <v>0.15</v>
      </c>
      <c r="Z299">
        <f t="shared" si="34"/>
        <v>5966.5920000000006</v>
      </c>
      <c r="AA299">
        <f t="shared" si="35"/>
        <v>1971.8720000000008</v>
      </c>
      <c r="AB299" s="6">
        <f t="shared" si="36"/>
        <v>0.33048547646629778</v>
      </c>
      <c r="AC299" t="str">
        <f t="shared" si="37"/>
        <v>October</v>
      </c>
      <c r="AD299">
        <f t="shared" si="38"/>
        <v>2024</v>
      </c>
      <c r="AE299" t="str">
        <f t="shared" si="39"/>
        <v>Clean</v>
      </c>
    </row>
    <row r="300" spans="1:31">
      <c r="A300" t="s">
        <v>1000</v>
      </c>
      <c r="B300" s="3">
        <v>45680</v>
      </c>
      <c r="C300" s="3">
        <v>45683</v>
      </c>
      <c r="D300" t="s">
        <v>1001</v>
      </c>
      <c r="E300" t="s">
        <v>47</v>
      </c>
      <c r="F300" t="s">
        <v>24</v>
      </c>
      <c r="G300" t="s">
        <v>54</v>
      </c>
      <c r="H300" t="s">
        <v>185</v>
      </c>
      <c r="I300" t="s">
        <v>186</v>
      </c>
      <c r="J300" t="s">
        <v>74</v>
      </c>
      <c r="K300" t="s">
        <v>80</v>
      </c>
      <c r="L300" t="s">
        <v>1002</v>
      </c>
      <c r="M300" t="s">
        <v>50</v>
      </c>
      <c r="N300">
        <v>7</v>
      </c>
      <c r="O300">
        <v>348.49</v>
      </c>
      <c r="P300">
        <v>0.2</v>
      </c>
      <c r="Q300">
        <v>1951.54</v>
      </c>
      <c r="R300">
        <v>1609.95</v>
      </c>
      <c r="S300">
        <v>341.59</v>
      </c>
      <c r="T300" t="s">
        <v>155</v>
      </c>
      <c r="U300" t="s">
        <v>103</v>
      </c>
      <c r="V300">
        <f>IF(OR(B300="Invalid Date",C300="Invalid Date"),"Invalid Date",C300-B300)</f>
        <v>3</v>
      </c>
      <c r="W300" s="4" t="str">
        <f>IF(OR(B300="Invalid Date",C300="Invalid Date"),"Invalid Date",IF(C300&lt;B300,"Invalid Shipping","OK"))</f>
        <v>OK</v>
      </c>
      <c r="X300">
        <f t="shared" si="32"/>
        <v>1</v>
      </c>
      <c r="Y300">
        <f t="shared" si="33"/>
        <v>0.2</v>
      </c>
      <c r="Z300">
        <f t="shared" si="34"/>
        <v>1951.5440000000003</v>
      </c>
      <c r="AA300">
        <f t="shared" si="35"/>
        <v>341.59400000000028</v>
      </c>
      <c r="AB300" s="6">
        <f t="shared" si="36"/>
        <v>0.17503781621116421</v>
      </c>
      <c r="AC300" t="str">
        <f t="shared" si="37"/>
        <v>January</v>
      </c>
      <c r="AD300">
        <f t="shared" si="38"/>
        <v>2025</v>
      </c>
      <c r="AE300" t="str">
        <f t="shared" si="39"/>
        <v>Clean</v>
      </c>
    </row>
    <row r="301" spans="1:31">
      <c r="A301" t="s">
        <v>1003</v>
      </c>
      <c r="B301" s="3">
        <v>45602</v>
      </c>
      <c r="C301" s="3">
        <v>45608</v>
      </c>
      <c r="D301" t="s">
        <v>1004</v>
      </c>
      <c r="E301" t="s">
        <v>118</v>
      </c>
      <c r="F301" t="s">
        <v>37</v>
      </c>
      <c r="G301" t="s">
        <v>63</v>
      </c>
      <c r="H301" t="s">
        <v>180</v>
      </c>
      <c r="I301" t="s">
        <v>181</v>
      </c>
      <c r="J301" t="s">
        <v>74</v>
      </c>
      <c r="K301" t="s">
        <v>75</v>
      </c>
      <c r="L301" t="s">
        <v>1005</v>
      </c>
      <c r="M301" t="s">
        <v>59</v>
      </c>
      <c r="N301">
        <v>7</v>
      </c>
      <c r="O301">
        <v>1719.05</v>
      </c>
      <c r="P301">
        <v>0.1</v>
      </c>
      <c r="Q301">
        <v>10830.02</v>
      </c>
      <c r="R301">
        <v>7055.31</v>
      </c>
      <c r="S301">
        <v>3774.71</v>
      </c>
      <c r="T301" t="s">
        <v>32</v>
      </c>
      <c r="U301" t="s">
        <v>33</v>
      </c>
      <c r="V301">
        <f>IF(OR(B301="Invalid Date",C301="Invalid Date"),"Invalid Date",C301-B301)</f>
        <v>6</v>
      </c>
      <c r="W301" s="4" t="str">
        <f>IF(OR(B301="Invalid Date",C301="Invalid Date"),"Invalid Date",IF(C301&lt;B301,"Invalid Shipping","OK"))</f>
        <v>OK</v>
      </c>
      <c r="X301">
        <f t="shared" si="32"/>
        <v>1</v>
      </c>
      <c r="Y301">
        <f t="shared" si="33"/>
        <v>0.1</v>
      </c>
      <c r="Z301">
        <f t="shared" si="34"/>
        <v>10830.015000000001</v>
      </c>
      <c r="AA301">
        <f t="shared" si="35"/>
        <v>3774.7050000000008</v>
      </c>
      <c r="AB301" s="6">
        <f t="shared" si="36"/>
        <v>0.34854106850267524</v>
      </c>
      <c r="AC301" t="str">
        <f t="shared" si="37"/>
        <v>November</v>
      </c>
      <c r="AD301">
        <f t="shared" si="38"/>
        <v>2024</v>
      </c>
      <c r="AE301" t="str">
        <f t="shared" si="39"/>
        <v>Clean</v>
      </c>
    </row>
    <row r="302" spans="1:31">
      <c r="A302" t="s">
        <v>1006</v>
      </c>
      <c r="B302" s="3">
        <v>45397</v>
      </c>
      <c r="C302" s="3" t="s">
        <v>2763</v>
      </c>
      <c r="D302" t="s">
        <v>1007</v>
      </c>
      <c r="E302" t="s">
        <v>162</v>
      </c>
      <c r="F302" t="s">
        <v>37</v>
      </c>
      <c r="G302" t="s">
        <v>25</v>
      </c>
      <c r="H302" t="s">
        <v>122</v>
      </c>
      <c r="I302" t="s">
        <v>123</v>
      </c>
      <c r="J302" t="s">
        <v>74</v>
      </c>
      <c r="K302" t="s">
        <v>75</v>
      </c>
      <c r="L302" t="s">
        <v>1008</v>
      </c>
      <c r="M302" t="s">
        <v>31</v>
      </c>
      <c r="N302">
        <v>9</v>
      </c>
      <c r="O302">
        <v>3893.74</v>
      </c>
      <c r="P302">
        <v>0.1</v>
      </c>
      <c r="Q302">
        <v>31539.29</v>
      </c>
      <c r="R302">
        <v>22100.14</v>
      </c>
      <c r="S302">
        <v>9439.15</v>
      </c>
      <c r="T302" t="s">
        <v>32</v>
      </c>
      <c r="U302" t="s">
        <v>33</v>
      </c>
      <c r="V302" t="str">
        <f>IF(OR(B302="Invalid Date",C302="Invalid Date"),"Invalid Date",C302-B302)</f>
        <v>Invalid Date</v>
      </c>
      <c r="W302" s="4" t="str">
        <f>IF(OR(B302="Invalid Date",C302="Invalid Date"),"Invalid Date",IF(C302&lt;B302,"Invalid Shipping","OK"))</f>
        <v>Invalid Date</v>
      </c>
      <c r="X302">
        <f t="shared" si="32"/>
        <v>1</v>
      </c>
      <c r="Y302">
        <f t="shared" si="33"/>
        <v>0.1</v>
      </c>
      <c r="Z302">
        <f t="shared" si="34"/>
        <v>31539.293999999998</v>
      </c>
      <c r="AA302">
        <f t="shared" si="35"/>
        <v>9439.1539999999986</v>
      </c>
      <c r="AB302" s="6">
        <f t="shared" si="36"/>
        <v>0.29928234918638313</v>
      </c>
      <c r="AC302" t="str">
        <f t="shared" si="37"/>
        <v>April</v>
      </c>
      <c r="AD302">
        <f t="shared" si="38"/>
        <v>2024</v>
      </c>
      <c r="AE302" t="str">
        <f t="shared" si="39"/>
        <v>Invalid</v>
      </c>
    </row>
    <row r="303" spans="1:31">
      <c r="A303" t="s">
        <v>1009</v>
      </c>
      <c r="B303" s="3">
        <v>45805</v>
      </c>
      <c r="C303" s="3">
        <v>45809</v>
      </c>
      <c r="D303" t="s">
        <v>1010</v>
      </c>
      <c r="E303" t="s">
        <v>47</v>
      </c>
      <c r="F303" t="s">
        <v>95</v>
      </c>
      <c r="G303" t="s">
        <v>38</v>
      </c>
      <c r="H303" t="s">
        <v>145</v>
      </c>
      <c r="I303" t="s">
        <v>146</v>
      </c>
      <c r="J303" t="s">
        <v>74</v>
      </c>
      <c r="K303" t="s">
        <v>171</v>
      </c>
      <c r="L303" t="s">
        <v>1011</v>
      </c>
      <c r="M303" t="s">
        <v>44</v>
      </c>
      <c r="N303">
        <v>4</v>
      </c>
      <c r="O303">
        <v>1654.11</v>
      </c>
      <c r="P303">
        <v>0.05</v>
      </c>
      <c r="Q303">
        <v>6285.62</v>
      </c>
      <c r="R303">
        <v>3705.38</v>
      </c>
      <c r="S303">
        <v>2580.2399999999998</v>
      </c>
      <c r="T303" t="s">
        <v>32</v>
      </c>
      <c r="U303" t="s">
        <v>33</v>
      </c>
      <c r="V303">
        <f>IF(OR(B303="Invalid Date",C303="Invalid Date"),"Invalid Date",C303-B303)</f>
        <v>4</v>
      </c>
      <c r="W303" s="4" t="str">
        <f>IF(OR(B303="Invalid Date",C303="Invalid Date"),"Invalid Date",IF(C303&lt;B303,"Invalid Shipping","OK"))</f>
        <v>OK</v>
      </c>
      <c r="X303">
        <f t="shared" si="32"/>
        <v>1</v>
      </c>
      <c r="Y303">
        <f t="shared" si="33"/>
        <v>0.05</v>
      </c>
      <c r="Z303">
        <f t="shared" si="34"/>
        <v>6285.6179999999995</v>
      </c>
      <c r="AA303">
        <f t="shared" si="35"/>
        <v>2580.2379999999994</v>
      </c>
      <c r="AB303" s="6">
        <f t="shared" si="36"/>
        <v>0.41049869718458865</v>
      </c>
      <c r="AC303" t="str">
        <f t="shared" si="37"/>
        <v>May</v>
      </c>
      <c r="AD303">
        <f t="shared" si="38"/>
        <v>2025</v>
      </c>
      <c r="AE303" t="str">
        <f t="shared" si="39"/>
        <v>Clean</v>
      </c>
    </row>
    <row r="304" spans="1:31">
      <c r="A304" t="s">
        <v>1012</v>
      </c>
      <c r="B304" s="3">
        <v>45812</v>
      </c>
      <c r="C304" s="3">
        <v>45820</v>
      </c>
      <c r="D304" t="s">
        <v>1013</v>
      </c>
      <c r="E304" t="s">
        <v>79</v>
      </c>
      <c r="F304" t="s">
        <v>24</v>
      </c>
      <c r="G304" t="s">
        <v>63</v>
      </c>
      <c r="H304" t="s">
        <v>190</v>
      </c>
      <c r="I304" t="s">
        <v>191</v>
      </c>
      <c r="J304" t="s">
        <v>28</v>
      </c>
      <c r="K304" t="s">
        <v>124</v>
      </c>
      <c r="L304" t="s">
        <v>1014</v>
      </c>
      <c r="M304" t="s">
        <v>44</v>
      </c>
      <c r="N304">
        <v>2</v>
      </c>
      <c r="O304">
        <v>2703.28</v>
      </c>
      <c r="P304">
        <v>0.25</v>
      </c>
      <c r="Q304">
        <v>4054.92</v>
      </c>
      <c r="R304">
        <v>2424.83</v>
      </c>
      <c r="S304">
        <v>1630.09</v>
      </c>
      <c r="T304" t="s">
        <v>32</v>
      </c>
      <c r="U304" t="s">
        <v>33</v>
      </c>
      <c r="V304">
        <f>IF(OR(B304="Invalid Date",C304="Invalid Date"),"Invalid Date",C304-B304)</f>
        <v>8</v>
      </c>
      <c r="W304" s="4" t="str">
        <f>IF(OR(B304="Invalid Date",C304="Invalid Date"),"Invalid Date",IF(C304&lt;B304,"Invalid Shipping","OK"))</f>
        <v>OK</v>
      </c>
      <c r="X304">
        <f t="shared" si="32"/>
        <v>1</v>
      </c>
      <c r="Y304">
        <f t="shared" si="33"/>
        <v>0.25</v>
      </c>
      <c r="Z304">
        <f t="shared" si="34"/>
        <v>4054.92</v>
      </c>
      <c r="AA304">
        <f t="shared" si="35"/>
        <v>1630.0900000000001</v>
      </c>
      <c r="AB304" s="6">
        <f t="shared" si="36"/>
        <v>0.40200299882611745</v>
      </c>
      <c r="AC304" t="str">
        <f t="shared" si="37"/>
        <v>June</v>
      </c>
      <c r="AD304">
        <f t="shared" si="38"/>
        <v>2025</v>
      </c>
      <c r="AE304" t="str">
        <f t="shared" si="39"/>
        <v>Clean</v>
      </c>
    </row>
    <row r="305" spans="1:31">
      <c r="A305" t="s">
        <v>1015</v>
      </c>
      <c r="B305" s="3">
        <v>45466</v>
      </c>
      <c r="C305" s="3">
        <v>45471</v>
      </c>
      <c r="D305" t="s">
        <v>1016</v>
      </c>
      <c r="E305" t="s">
        <v>162</v>
      </c>
      <c r="F305" t="s">
        <v>95</v>
      </c>
      <c r="G305" t="s">
        <v>63</v>
      </c>
      <c r="H305" t="s">
        <v>180</v>
      </c>
      <c r="I305" t="s">
        <v>181</v>
      </c>
      <c r="J305" t="s">
        <v>41</v>
      </c>
      <c r="K305" t="s">
        <v>66</v>
      </c>
      <c r="L305" t="s">
        <v>1017</v>
      </c>
      <c r="M305" t="s">
        <v>59</v>
      </c>
      <c r="N305">
        <v>2</v>
      </c>
      <c r="O305">
        <v>1313.14</v>
      </c>
      <c r="P305">
        <v>0.1</v>
      </c>
      <c r="Q305">
        <v>2363.65</v>
      </c>
      <c r="R305">
        <v>1876.1</v>
      </c>
      <c r="S305">
        <v>487.55</v>
      </c>
      <c r="T305" t="s">
        <v>111</v>
      </c>
      <c r="U305" t="s">
        <v>103</v>
      </c>
      <c r="V305">
        <f>IF(OR(B305="Invalid Date",C305="Invalid Date"),"Invalid Date",C305-B305)</f>
        <v>5</v>
      </c>
      <c r="W305" s="4" t="str">
        <f>IF(OR(B305="Invalid Date",C305="Invalid Date"),"Invalid Date",IF(C305&lt;B305,"Invalid Shipping","OK"))</f>
        <v>OK</v>
      </c>
      <c r="X305">
        <f t="shared" si="32"/>
        <v>1</v>
      </c>
      <c r="Y305">
        <f t="shared" si="33"/>
        <v>0.1</v>
      </c>
      <c r="Z305">
        <f t="shared" si="34"/>
        <v>2363.652</v>
      </c>
      <c r="AA305">
        <f t="shared" si="35"/>
        <v>487.55200000000013</v>
      </c>
      <c r="AB305" s="6">
        <f t="shared" si="36"/>
        <v>0.20627063544041174</v>
      </c>
      <c r="AC305" t="str">
        <f t="shared" si="37"/>
        <v>June</v>
      </c>
      <c r="AD305">
        <f t="shared" si="38"/>
        <v>2024</v>
      </c>
      <c r="AE305" t="str">
        <f t="shared" si="39"/>
        <v>Clean</v>
      </c>
    </row>
    <row r="306" spans="1:31">
      <c r="A306" t="s">
        <v>1018</v>
      </c>
      <c r="B306" s="3">
        <v>45446</v>
      </c>
      <c r="C306" s="3">
        <v>45364</v>
      </c>
      <c r="D306" t="s">
        <v>1019</v>
      </c>
      <c r="E306" t="s">
        <v>23</v>
      </c>
      <c r="F306" t="s">
        <v>24</v>
      </c>
      <c r="G306" t="s">
        <v>25</v>
      </c>
      <c r="H306" t="s">
        <v>122</v>
      </c>
      <c r="I306" t="s">
        <v>123</v>
      </c>
      <c r="J306" t="s">
        <v>41</v>
      </c>
      <c r="K306" t="s">
        <v>57</v>
      </c>
      <c r="L306" t="s">
        <v>1020</v>
      </c>
      <c r="M306" t="s">
        <v>59</v>
      </c>
      <c r="N306">
        <v>6</v>
      </c>
      <c r="O306">
        <v>2403.0500000000002</v>
      </c>
      <c r="P306">
        <v>0.1</v>
      </c>
      <c r="Q306">
        <v>12976.47</v>
      </c>
      <c r="R306">
        <v>10019.98</v>
      </c>
      <c r="S306">
        <v>2956.49</v>
      </c>
      <c r="T306" t="s">
        <v>32</v>
      </c>
      <c r="U306" t="s">
        <v>33</v>
      </c>
      <c r="V306">
        <f>IF(OR(B306="Invalid Date",C306="Invalid Date"),"Invalid Date",C306-B306)</f>
        <v>-82</v>
      </c>
      <c r="W306" s="4" t="str">
        <f>IF(OR(B306="Invalid Date",C306="Invalid Date"),"Invalid Date",IF(C306&lt;B306,"Invalid Shipping","OK"))</f>
        <v>Invalid Shipping</v>
      </c>
      <c r="X306">
        <f t="shared" si="32"/>
        <v>1</v>
      </c>
      <c r="Y306">
        <f t="shared" si="33"/>
        <v>0.1</v>
      </c>
      <c r="Z306">
        <f t="shared" si="34"/>
        <v>12976.470000000001</v>
      </c>
      <c r="AA306">
        <f t="shared" si="35"/>
        <v>2956.4900000000016</v>
      </c>
      <c r="AB306" s="6">
        <f t="shared" si="36"/>
        <v>0.22783468847845378</v>
      </c>
      <c r="AC306" t="str">
        <f t="shared" si="37"/>
        <v>June</v>
      </c>
      <c r="AD306">
        <f t="shared" si="38"/>
        <v>2024</v>
      </c>
      <c r="AE306" t="str">
        <f t="shared" si="39"/>
        <v>Invalid</v>
      </c>
    </row>
    <row r="307" spans="1:31">
      <c r="A307" t="s">
        <v>1021</v>
      </c>
      <c r="B307" s="3">
        <v>45413</v>
      </c>
      <c r="C307" s="3">
        <v>45327</v>
      </c>
      <c r="D307" t="s">
        <v>1022</v>
      </c>
      <c r="E307" t="s">
        <v>62</v>
      </c>
      <c r="F307" t="s">
        <v>24</v>
      </c>
      <c r="G307" t="s">
        <v>38</v>
      </c>
      <c r="H307" t="s">
        <v>166</v>
      </c>
      <c r="I307" t="s">
        <v>167</v>
      </c>
      <c r="J307" t="s">
        <v>41</v>
      </c>
      <c r="K307" t="s">
        <v>66</v>
      </c>
      <c r="L307" t="s">
        <v>1023</v>
      </c>
      <c r="M307" t="s">
        <v>50</v>
      </c>
      <c r="N307">
        <v>4</v>
      </c>
      <c r="O307">
        <v>4156.0600000000004</v>
      </c>
      <c r="P307">
        <v>0.55000000000000004</v>
      </c>
      <c r="Q307">
        <v>13299.39</v>
      </c>
      <c r="R307">
        <v>9851.91</v>
      </c>
      <c r="S307">
        <v>3447.48</v>
      </c>
      <c r="T307" t="s">
        <v>32</v>
      </c>
      <c r="U307" t="s">
        <v>68</v>
      </c>
      <c r="V307">
        <f>IF(OR(B307="Invalid Date",C307="Invalid Date"),"Invalid Date",C307-B307)</f>
        <v>-86</v>
      </c>
      <c r="W307" s="4" t="str">
        <f>IF(OR(B307="Invalid Date",C307="Invalid Date"),"Invalid Date",IF(C307&lt;B307,"Invalid Shipping","OK"))</f>
        <v>Invalid Shipping</v>
      </c>
      <c r="X307">
        <f t="shared" si="32"/>
        <v>1</v>
      </c>
      <c r="Y307">
        <f t="shared" si="33"/>
        <v>0.55000000000000004</v>
      </c>
      <c r="Z307">
        <f t="shared" si="34"/>
        <v>7480.9080000000004</v>
      </c>
      <c r="AA307">
        <f t="shared" si="35"/>
        <v>-2371.0019999999995</v>
      </c>
      <c r="AB307" s="6">
        <f t="shared" si="36"/>
        <v>-0.31694040349112695</v>
      </c>
      <c r="AC307" t="str">
        <f t="shared" si="37"/>
        <v>May</v>
      </c>
      <c r="AD307">
        <f t="shared" si="38"/>
        <v>2024</v>
      </c>
      <c r="AE307" t="str">
        <f t="shared" si="39"/>
        <v>Invalid</v>
      </c>
    </row>
    <row r="308" spans="1:31">
      <c r="A308" t="s">
        <v>1024</v>
      </c>
      <c r="B308" s="3">
        <v>45708</v>
      </c>
      <c r="C308" s="3">
        <v>45711</v>
      </c>
      <c r="D308" t="s">
        <v>1025</v>
      </c>
      <c r="E308" t="s">
        <v>128</v>
      </c>
      <c r="F308" t="s">
        <v>24</v>
      </c>
      <c r="G308" t="s">
        <v>25</v>
      </c>
      <c r="H308" t="s">
        <v>26</v>
      </c>
      <c r="I308" t="s">
        <v>27</v>
      </c>
      <c r="J308" t="s">
        <v>74</v>
      </c>
      <c r="K308" t="s">
        <v>171</v>
      </c>
      <c r="L308" t="s">
        <v>1026</v>
      </c>
      <c r="M308" t="s">
        <v>31</v>
      </c>
      <c r="N308">
        <v>4</v>
      </c>
      <c r="O308">
        <v>3673.11</v>
      </c>
      <c r="P308">
        <v>0</v>
      </c>
      <c r="Q308">
        <v>14692.44</v>
      </c>
      <c r="R308">
        <v>10082.19</v>
      </c>
      <c r="S308">
        <v>4610.25</v>
      </c>
      <c r="T308" t="s">
        <v>32</v>
      </c>
      <c r="U308" t="s">
        <v>33</v>
      </c>
      <c r="V308">
        <f>IF(OR(B308="Invalid Date",C308="Invalid Date"),"Invalid Date",C308-B308)</f>
        <v>3</v>
      </c>
      <c r="W308" s="4" t="str">
        <f>IF(OR(B308="Invalid Date",C308="Invalid Date"),"Invalid Date",IF(C308&lt;B308,"Invalid Shipping","OK"))</f>
        <v>OK</v>
      </c>
      <c r="X308">
        <f t="shared" si="32"/>
        <v>1</v>
      </c>
      <c r="Y308">
        <f t="shared" si="33"/>
        <v>0</v>
      </c>
      <c r="Z308">
        <f t="shared" si="34"/>
        <v>14692.44</v>
      </c>
      <c r="AA308">
        <f t="shared" si="35"/>
        <v>4610.25</v>
      </c>
      <c r="AB308" s="6">
        <f t="shared" si="36"/>
        <v>0.31378382351740075</v>
      </c>
      <c r="AC308" t="str">
        <f t="shared" si="37"/>
        <v>February</v>
      </c>
      <c r="AD308">
        <f t="shared" si="38"/>
        <v>2025</v>
      </c>
      <c r="AE308" t="str">
        <f t="shared" si="39"/>
        <v>Clean</v>
      </c>
    </row>
    <row r="309" spans="1:31">
      <c r="A309" t="s">
        <v>1027</v>
      </c>
      <c r="B309" s="3">
        <v>45850</v>
      </c>
      <c r="C309" s="3">
        <v>45857</v>
      </c>
      <c r="D309" t="s">
        <v>1028</v>
      </c>
      <c r="E309" t="s">
        <v>62</v>
      </c>
      <c r="F309" t="s">
        <v>90</v>
      </c>
      <c r="G309" t="s">
        <v>25</v>
      </c>
      <c r="H309" t="s">
        <v>136</v>
      </c>
      <c r="I309" t="s">
        <v>137</v>
      </c>
      <c r="J309" t="s">
        <v>41</v>
      </c>
      <c r="K309" t="s">
        <v>42</v>
      </c>
      <c r="L309" t="s">
        <v>1029</v>
      </c>
      <c r="M309" t="s">
        <v>50</v>
      </c>
      <c r="N309">
        <v>9</v>
      </c>
      <c r="O309">
        <v>4093.04</v>
      </c>
      <c r="P309">
        <v>0.2</v>
      </c>
      <c r="Q309">
        <v>29469.89</v>
      </c>
      <c r="R309">
        <v>18935.509999999998</v>
      </c>
      <c r="S309">
        <v>10534.38</v>
      </c>
      <c r="T309" t="s">
        <v>111</v>
      </c>
      <c r="U309" t="s">
        <v>68</v>
      </c>
      <c r="V309">
        <f>IF(OR(B309="Invalid Date",C309="Invalid Date"),"Invalid Date",C309-B309)</f>
        <v>7</v>
      </c>
      <c r="W309" s="4" t="str">
        <f>IF(OR(B309="Invalid Date",C309="Invalid Date"),"Invalid Date",IF(C309&lt;B309,"Invalid Shipping","OK"))</f>
        <v>OK</v>
      </c>
      <c r="X309">
        <f t="shared" si="32"/>
        <v>1</v>
      </c>
      <c r="Y309">
        <f t="shared" si="33"/>
        <v>0.2</v>
      </c>
      <c r="Z309">
        <f t="shared" si="34"/>
        <v>29469.888000000003</v>
      </c>
      <c r="AA309">
        <f t="shared" si="35"/>
        <v>10534.378000000004</v>
      </c>
      <c r="AB309" s="6">
        <f t="shared" si="36"/>
        <v>0.3574624375905332</v>
      </c>
      <c r="AC309" t="str">
        <f t="shared" si="37"/>
        <v>July</v>
      </c>
      <c r="AD309">
        <f t="shared" si="38"/>
        <v>2025</v>
      </c>
      <c r="AE309" t="str">
        <f t="shared" si="39"/>
        <v>Clean</v>
      </c>
    </row>
    <row r="310" spans="1:31">
      <c r="A310" t="s">
        <v>1030</v>
      </c>
      <c r="B310" s="3">
        <v>45821</v>
      </c>
      <c r="C310" s="3">
        <v>45827</v>
      </c>
      <c r="D310" t="s">
        <v>1031</v>
      </c>
      <c r="E310" t="s">
        <v>141</v>
      </c>
      <c r="F310" t="s">
        <v>24</v>
      </c>
      <c r="G310" t="s">
        <v>25</v>
      </c>
      <c r="H310" t="s">
        <v>26</v>
      </c>
      <c r="I310" t="s">
        <v>27</v>
      </c>
      <c r="J310" t="s">
        <v>41</v>
      </c>
      <c r="K310" t="s">
        <v>42</v>
      </c>
      <c r="L310" t="s">
        <v>1032</v>
      </c>
      <c r="M310" t="s">
        <v>50</v>
      </c>
      <c r="N310">
        <v>4</v>
      </c>
      <c r="O310">
        <v>731.57</v>
      </c>
      <c r="P310">
        <v>0.2</v>
      </c>
      <c r="Q310">
        <v>2341.02</v>
      </c>
      <c r="R310">
        <v>1565.49</v>
      </c>
      <c r="S310">
        <v>775.53</v>
      </c>
      <c r="T310" t="s">
        <v>32</v>
      </c>
      <c r="U310" t="s">
        <v>33</v>
      </c>
      <c r="V310">
        <f>IF(OR(B310="Invalid Date",C310="Invalid Date"),"Invalid Date",C310-B310)</f>
        <v>6</v>
      </c>
      <c r="W310" s="4" t="str">
        <f>IF(OR(B310="Invalid Date",C310="Invalid Date"),"Invalid Date",IF(C310&lt;B310,"Invalid Shipping","OK"))</f>
        <v>OK</v>
      </c>
      <c r="X310">
        <f t="shared" si="32"/>
        <v>1</v>
      </c>
      <c r="Y310">
        <f t="shared" si="33"/>
        <v>0.2</v>
      </c>
      <c r="Z310">
        <f t="shared" si="34"/>
        <v>2341.0240000000003</v>
      </c>
      <c r="AA310">
        <f t="shared" si="35"/>
        <v>775.53400000000033</v>
      </c>
      <c r="AB310" s="6">
        <f t="shared" si="36"/>
        <v>0.33127981601213835</v>
      </c>
      <c r="AC310" t="str">
        <f t="shared" si="37"/>
        <v>June</v>
      </c>
      <c r="AD310">
        <f t="shared" si="38"/>
        <v>2025</v>
      </c>
      <c r="AE310" t="str">
        <f t="shared" si="39"/>
        <v>Clean</v>
      </c>
    </row>
    <row r="311" spans="1:31">
      <c r="A311" t="s">
        <v>1033</v>
      </c>
      <c r="B311" s="3" t="s">
        <v>2763</v>
      </c>
      <c r="C311" s="3">
        <v>45495</v>
      </c>
      <c r="D311" t="s">
        <v>1034</v>
      </c>
      <c r="E311" t="s">
        <v>62</v>
      </c>
      <c r="F311" t="s">
        <v>24</v>
      </c>
      <c r="G311" t="s">
        <v>54</v>
      </c>
      <c r="H311" t="s">
        <v>247</v>
      </c>
      <c r="I311" t="s">
        <v>248</v>
      </c>
      <c r="J311" t="s">
        <v>41</v>
      </c>
      <c r="K311" t="s">
        <v>42</v>
      </c>
      <c r="L311" t="s">
        <v>1035</v>
      </c>
      <c r="M311" t="s">
        <v>50</v>
      </c>
      <c r="N311">
        <v>7</v>
      </c>
      <c r="O311">
        <v>2060.73</v>
      </c>
      <c r="P311">
        <v>0.1</v>
      </c>
      <c r="Q311">
        <v>12982.6</v>
      </c>
      <c r="R311">
        <v>7246.36</v>
      </c>
      <c r="S311">
        <v>5736.24</v>
      </c>
      <c r="T311" t="s">
        <v>32</v>
      </c>
      <c r="U311" t="s">
        <v>68</v>
      </c>
      <c r="V311" t="str">
        <f>IF(OR(B311="Invalid Date",C311="Invalid Date"),"Invalid Date",C311-B311)</f>
        <v>Invalid Date</v>
      </c>
      <c r="W311" s="4" t="str">
        <f>IF(OR(B311="Invalid Date",C311="Invalid Date"),"Invalid Date",IF(C311&lt;B311,"Invalid Shipping","OK"))</f>
        <v>Invalid Date</v>
      </c>
      <c r="X311">
        <f t="shared" si="32"/>
        <v>1</v>
      </c>
      <c r="Y311">
        <f t="shared" si="33"/>
        <v>0.1</v>
      </c>
      <c r="Z311">
        <f t="shared" si="34"/>
        <v>12982.599</v>
      </c>
      <c r="AA311">
        <f t="shared" si="35"/>
        <v>5736.2390000000005</v>
      </c>
      <c r="AB311" s="6">
        <f t="shared" si="36"/>
        <v>0.441840574448922</v>
      </c>
      <c r="AC311" t="str">
        <f t="shared" si="37"/>
        <v/>
      </c>
      <c r="AD311" t="str">
        <f t="shared" si="38"/>
        <v/>
      </c>
      <c r="AE311" t="str">
        <f t="shared" si="39"/>
        <v>Invalid</v>
      </c>
    </row>
    <row r="312" spans="1:31">
      <c r="A312" t="s">
        <v>1036</v>
      </c>
      <c r="B312" s="3">
        <v>45477</v>
      </c>
      <c r="C312" s="3">
        <v>45481</v>
      </c>
      <c r="D312" t="s">
        <v>1037</v>
      </c>
      <c r="E312" t="s">
        <v>141</v>
      </c>
      <c r="F312" t="s">
        <v>37</v>
      </c>
      <c r="G312" t="s">
        <v>54</v>
      </c>
      <c r="H312" t="s">
        <v>247</v>
      </c>
      <c r="I312" t="s">
        <v>248</v>
      </c>
      <c r="J312" t="s">
        <v>74</v>
      </c>
      <c r="K312" t="s">
        <v>274</v>
      </c>
      <c r="L312" t="s">
        <v>1038</v>
      </c>
      <c r="M312" t="s">
        <v>50</v>
      </c>
      <c r="N312">
        <v>8</v>
      </c>
      <c r="O312">
        <v>2034.25</v>
      </c>
      <c r="P312">
        <v>0</v>
      </c>
      <c r="Q312">
        <v>16274</v>
      </c>
      <c r="R312">
        <v>9424.25</v>
      </c>
      <c r="S312">
        <v>6849.75</v>
      </c>
      <c r="T312" t="s">
        <v>32</v>
      </c>
      <c r="U312" t="s">
        <v>33</v>
      </c>
      <c r="V312">
        <f>IF(OR(B312="Invalid Date",C312="Invalid Date"),"Invalid Date",C312-B312)</f>
        <v>4</v>
      </c>
      <c r="W312" s="4" t="str">
        <f>IF(OR(B312="Invalid Date",C312="Invalid Date"),"Invalid Date",IF(C312&lt;B312,"Invalid Shipping","OK"))</f>
        <v>OK</v>
      </c>
      <c r="X312">
        <f t="shared" si="32"/>
        <v>1</v>
      </c>
      <c r="Y312">
        <f t="shared" si="33"/>
        <v>0</v>
      </c>
      <c r="Z312">
        <f t="shared" si="34"/>
        <v>16274</v>
      </c>
      <c r="AA312">
        <f t="shared" si="35"/>
        <v>6849.75</v>
      </c>
      <c r="AB312" s="6">
        <f t="shared" si="36"/>
        <v>0.42090143787636719</v>
      </c>
      <c r="AC312" t="str">
        <f t="shared" si="37"/>
        <v>July</v>
      </c>
      <c r="AD312">
        <f t="shared" si="38"/>
        <v>2024</v>
      </c>
      <c r="AE312" t="str">
        <f t="shared" si="39"/>
        <v>Clean</v>
      </c>
    </row>
    <row r="313" spans="1:31">
      <c r="A313" t="s">
        <v>1039</v>
      </c>
      <c r="B313" s="3">
        <v>45409</v>
      </c>
      <c r="C313" s="3">
        <v>45414</v>
      </c>
      <c r="D313" t="s">
        <v>1040</v>
      </c>
      <c r="E313" t="s">
        <v>36</v>
      </c>
      <c r="F313" t="s">
        <v>90</v>
      </c>
      <c r="G313" t="s">
        <v>54</v>
      </c>
      <c r="H313" t="s">
        <v>175</v>
      </c>
      <c r="I313" t="s">
        <v>176</v>
      </c>
      <c r="J313" t="s">
        <v>28</v>
      </c>
      <c r="K313" t="s">
        <v>153</v>
      </c>
      <c r="L313" t="s">
        <v>1041</v>
      </c>
      <c r="M313" t="s">
        <v>31</v>
      </c>
      <c r="N313">
        <v>5</v>
      </c>
      <c r="O313">
        <v>554.04</v>
      </c>
      <c r="P313">
        <v>0.1</v>
      </c>
      <c r="Q313">
        <v>2493.1799999999998</v>
      </c>
      <c r="R313">
        <v>1764</v>
      </c>
      <c r="S313">
        <v>729.18</v>
      </c>
      <c r="T313" t="s">
        <v>32</v>
      </c>
      <c r="U313" t="s">
        <v>33</v>
      </c>
      <c r="V313">
        <f>IF(OR(B313="Invalid Date",C313="Invalid Date"),"Invalid Date",C313-B313)</f>
        <v>5</v>
      </c>
      <c r="W313" s="4" t="str">
        <f>IF(OR(B313="Invalid Date",C313="Invalid Date"),"Invalid Date",IF(C313&lt;B313,"Invalid Shipping","OK"))</f>
        <v>OK</v>
      </c>
      <c r="X313">
        <f t="shared" si="32"/>
        <v>1</v>
      </c>
      <c r="Y313">
        <f t="shared" si="33"/>
        <v>0.1</v>
      </c>
      <c r="Z313">
        <f t="shared" si="34"/>
        <v>2493.1799999999998</v>
      </c>
      <c r="AA313">
        <f t="shared" si="35"/>
        <v>729.17999999999984</v>
      </c>
      <c r="AB313" s="6">
        <f t="shared" si="36"/>
        <v>0.29246985777200196</v>
      </c>
      <c r="AC313" t="str">
        <f t="shared" si="37"/>
        <v>April</v>
      </c>
      <c r="AD313">
        <f t="shared" si="38"/>
        <v>2024</v>
      </c>
      <c r="AE313" t="str">
        <f t="shared" si="39"/>
        <v>Clean</v>
      </c>
    </row>
    <row r="314" spans="1:31">
      <c r="A314" t="s">
        <v>1042</v>
      </c>
      <c r="B314" s="3" t="s">
        <v>2763</v>
      </c>
      <c r="C314" s="3">
        <v>45508</v>
      </c>
      <c r="D314" t="s">
        <v>1043</v>
      </c>
      <c r="E314" t="s">
        <v>23</v>
      </c>
      <c r="F314" t="s">
        <v>37</v>
      </c>
      <c r="G314" t="s">
        <v>38</v>
      </c>
      <c r="H314" t="s">
        <v>166</v>
      </c>
      <c r="I314" t="s">
        <v>167</v>
      </c>
      <c r="J314" t="s">
        <v>74</v>
      </c>
      <c r="K314" t="s">
        <v>171</v>
      </c>
      <c r="L314" t="s">
        <v>1044</v>
      </c>
      <c r="M314" t="s">
        <v>59</v>
      </c>
      <c r="N314">
        <v>8</v>
      </c>
      <c r="O314">
        <v>2614.7399999999998</v>
      </c>
      <c r="P314">
        <v>0</v>
      </c>
      <c r="Q314">
        <v>15688.44</v>
      </c>
      <c r="R314">
        <v>10047.33</v>
      </c>
      <c r="S314">
        <v>5641.11</v>
      </c>
      <c r="T314" t="s">
        <v>32</v>
      </c>
      <c r="U314" t="s">
        <v>68</v>
      </c>
      <c r="V314" t="str">
        <f>IF(OR(B314="Invalid Date",C314="Invalid Date"),"Invalid Date",C314-B314)</f>
        <v>Invalid Date</v>
      </c>
      <c r="W314" s="4" t="str">
        <f>IF(OR(B314="Invalid Date",C314="Invalid Date"),"Invalid Date",IF(C314&lt;B314,"Invalid Shipping","OK"))</f>
        <v>Invalid Date</v>
      </c>
      <c r="X314">
        <f t="shared" si="32"/>
        <v>1</v>
      </c>
      <c r="Y314">
        <f t="shared" si="33"/>
        <v>0</v>
      </c>
      <c r="Z314">
        <f t="shared" si="34"/>
        <v>20917.919999999998</v>
      </c>
      <c r="AA314">
        <f t="shared" si="35"/>
        <v>10870.589999999998</v>
      </c>
      <c r="AB314" s="6">
        <f t="shared" si="36"/>
        <v>0.5196783427797792</v>
      </c>
      <c r="AC314" t="str">
        <f t="shared" si="37"/>
        <v/>
      </c>
      <c r="AD314" t="str">
        <f t="shared" si="38"/>
        <v/>
      </c>
      <c r="AE314" t="str">
        <f t="shared" si="39"/>
        <v>Invalid</v>
      </c>
    </row>
    <row r="315" spans="1:31">
      <c r="A315" t="s">
        <v>1045</v>
      </c>
      <c r="B315" s="3">
        <v>45807</v>
      </c>
      <c r="C315" s="3">
        <v>45808</v>
      </c>
      <c r="D315" t="s">
        <v>1046</v>
      </c>
      <c r="E315" t="s">
        <v>118</v>
      </c>
      <c r="F315" t="s">
        <v>90</v>
      </c>
      <c r="G315" t="s">
        <v>25</v>
      </c>
      <c r="H315" t="s">
        <v>136</v>
      </c>
      <c r="I315" t="s">
        <v>137</v>
      </c>
      <c r="J315" t="s">
        <v>74</v>
      </c>
      <c r="K315" t="s">
        <v>171</v>
      </c>
      <c r="L315" t="s">
        <v>1047</v>
      </c>
      <c r="M315" t="s">
        <v>50</v>
      </c>
      <c r="N315">
        <v>8</v>
      </c>
      <c r="O315">
        <v>2081.4299999999998</v>
      </c>
      <c r="P315">
        <v>0.25</v>
      </c>
      <c r="Q315">
        <v>12488.58</v>
      </c>
      <c r="R315">
        <v>10717.4</v>
      </c>
      <c r="S315">
        <v>1771.18</v>
      </c>
      <c r="T315" t="s">
        <v>102</v>
      </c>
      <c r="U315" t="s">
        <v>68</v>
      </c>
      <c r="V315">
        <f>IF(OR(B315="Invalid Date",C315="Invalid Date"),"Invalid Date",C315-B315)</f>
        <v>1</v>
      </c>
      <c r="W315" s="4" t="str">
        <f>IF(OR(B315="Invalid Date",C315="Invalid Date"),"Invalid Date",IF(C315&lt;B315,"Invalid Shipping","OK"))</f>
        <v>OK</v>
      </c>
      <c r="X315">
        <f t="shared" si="32"/>
        <v>1</v>
      </c>
      <c r="Y315">
        <f t="shared" si="33"/>
        <v>0.25</v>
      </c>
      <c r="Z315">
        <f t="shared" si="34"/>
        <v>12488.579999999998</v>
      </c>
      <c r="AA315">
        <f t="shared" si="35"/>
        <v>1771.1799999999985</v>
      </c>
      <c r="AB315" s="6">
        <f t="shared" si="36"/>
        <v>0.14182397037933847</v>
      </c>
      <c r="AC315" t="str">
        <f t="shared" si="37"/>
        <v>May</v>
      </c>
      <c r="AD315">
        <f t="shared" si="38"/>
        <v>2025</v>
      </c>
      <c r="AE315" t="str">
        <f t="shared" si="39"/>
        <v>Clean</v>
      </c>
    </row>
    <row r="316" spans="1:31">
      <c r="A316" t="s">
        <v>1048</v>
      </c>
      <c r="B316" s="3" t="s">
        <v>2763</v>
      </c>
      <c r="C316" s="3">
        <v>45797</v>
      </c>
      <c r="D316" t="s">
        <v>1049</v>
      </c>
      <c r="E316" t="s">
        <v>47</v>
      </c>
      <c r="F316" t="s">
        <v>90</v>
      </c>
      <c r="G316" t="s">
        <v>63</v>
      </c>
      <c r="H316" t="s">
        <v>72</v>
      </c>
      <c r="I316" t="s">
        <v>73</v>
      </c>
      <c r="J316" t="s">
        <v>28</v>
      </c>
      <c r="K316" t="s">
        <v>91</v>
      </c>
      <c r="L316" t="s">
        <v>1050</v>
      </c>
      <c r="M316" t="s">
        <v>59</v>
      </c>
      <c r="N316">
        <v>9</v>
      </c>
      <c r="O316">
        <v>847.76</v>
      </c>
      <c r="P316">
        <v>0.15</v>
      </c>
      <c r="Q316">
        <v>6485.36</v>
      </c>
      <c r="R316">
        <v>5376.17</v>
      </c>
      <c r="S316">
        <v>1109.19</v>
      </c>
      <c r="T316" t="s">
        <v>155</v>
      </c>
      <c r="U316" t="s">
        <v>103</v>
      </c>
      <c r="V316" t="str">
        <f>IF(OR(B316="Invalid Date",C316="Invalid Date"),"Invalid Date",C316-B316)</f>
        <v>Invalid Date</v>
      </c>
      <c r="W316" s="4" t="str">
        <f>IF(OR(B316="Invalid Date",C316="Invalid Date"),"Invalid Date",IF(C316&lt;B316,"Invalid Shipping","OK"))</f>
        <v>Invalid Date</v>
      </c>
      <c r="X316">
        <f t="shared" si="32"/>
        <v>2</v>
      </c>
      <c r="Y316">
        <f t="shared" si="33"/>
        <v>0.15</v>
      </c>
      <c r="Z316">
        <f t="shared" si="34"/>
        <v>6485.3639999999996</v>
      </c>
      <c r="AA316">
        <f t="shared" si="35"/>
        <v>1109.1939999999995</v>
      </c>
      <c r="AB316" s="6">
        <f t="shared" si="36"/>
        <v>0.17103033846673826</v>
      </c>
      <c r="AC316" t="str">
        <f t="shared" si="37"/>
        <v/>
      </c>
      <c r="AD316" t="str">
        <f t="shared" si="38"/>
        <v/>
      </c>
      <c r="AE316" t="str">
        <f t="shared" si="39"/>
        <v>Invalid</v>
      </c>
    </row>
    <row r="317" spans="1:31">
      <c r="A317" t="s">
        <v>1051</v>
      </c>
      <c r="B317" s="3">
        <v>45475</v>
      </c>
      <c r="C317" s="3">
        <v>45481</v>
      </c>
      <c r="D317" t="s">
        <v>1052</v>
      </c>
      <c r="E317" t="s">
        <v>141</v>
      </c>
      <c r="F317" t="s">
        <v>24</v>
      </c>
      <c r="G317" t="s">
        <v>25</v>
      </c>
      <c r="H317" t="s">
        <v>350</v>
      </c>
      <c r="I317" t="s">
        <v>351</v>
      </c>
      <c r="J317" t="s">
        <v>28</v>
      </c>
      <c r="K317" t="s">
        <v>29</v>
      </c>
      <c r="L317" t="s">
        <v>1053</v>
      </c>
      <c r="M317" t="s">
        <v>59</v>
      </c>
      <c r="N317">
        <v>9</v>
      </c>
      <c r="O317">
        <v>3450.4</v>
      </c>
      <c r="P317">
        <v>0.05</v>
      </c>
      <c r="Q317">
        <v>29500.92</v>
      </c>
      <c r="R317">
        <v>17989.68</v>
      </c>
      <c r="S317">
        <v>11511.24</v>
      </c>
      <c r="T317" t="s">
        <v>111</v>
      </c>
      <c r="U317" t="s">
        <v>103</v>
      </c>
      <c r="V317">
        <f>IF(OR(B317="Invalid Date",C317="Invalid Date"),"Invalid Date",C317-B317)</f>
        <v>6</v>
      </c>
      <c r="W317" s="4" t="str">
        <f>IF(OR(B317="Invalid Date",C317="Invalid Date"),"Invalid Date",IF(C317&lt;B317,"Invalid Shipping","OK"))</f>
        <v>OK</v>
      </c>
      <c r="X317">
        <f t="shared" si="32"/>
        <v>1</v>
      </c>
      <c r="Y317">
        <f t="shared" si="33"/>
        <v>0.05</v>
      </c>
      <c r="Z317">
        <f t="shared" si="34"/>
        <v>29500.920000000002</v>
      </c>
      <c r="AA317">
        <f t="shared" si="35"/>
        <v>11511.240000000002</v>
      </c>
      <c r="AB317" s="6">
        <f t="shared" si="36"/>
        <v>0.39019935649464493</v>
      </c>
      <c r="AC317" t="str">
        <f t="shared" si="37"/>
        <v>July</v>
      </c>
      <c r="AD317">
        <f t="shared" si="38"/>
        <v>2024</v>
      </c>
      <c r="AE317" t="str">
        <f t="shared" si="39"/>
        <v>Clean</v>
      </c>
    </row>
    <row r="318" spans="1:31">
      <c r="A318" t="s">
        <v>1054</v>
      </c>
      <c r="B318" s="3">
        <v>45338</v>
      </c>
      <c r="C318" s="3" t="s">
        <v>2763</v>
      </c>
      <c r="D318" t="s">
        <v>1055</v>
      </c>
      <c r="E318" t="s">
        <v>23</v>
      </c>
      <c r="F318" t="s">
        <v>90</v>
      </c>
      <c r="G318" t="s">
        <v>25</v>
      </c>
      <c r="H318" t="s">
        <v>122</v>
      </c>
      <c r="I318" t="s">
        <v>123</v>
      </c>
      <c r="J318" t="s">
        <v>28</v>
      </c>
      <c r="K318" t="s">
        <v>91</v>
      </c>
      <c r="L318" t="s">
        <v>1056</v>
      </c>
      <c r="M318" t="s">
        <v>59</v>
      </c>
      <c r="N318">
        <v>2</v>
      </c>
      <c r="O318">
        <v>1947.53</v>
      </c>
      <c r="P318">
        <v>0.2</v>
      </c>
      <c r="Q318">
        <v>3116.05</v>
      </c>
      <c r="R318">
        <v>1956.63</v>
      </c>
      <c r="S318">
        <v>1159.42</v>
      </c>
      <c r="T318" t="s">
        <v>32</v>
      </c>
      <c r="U318" t="s">
        <v>68</v>
      </c>
      <c r="V318" t="str">
        <f>IF(OR(B318="Invalid Date",C318="Invalid Date"),"Invalid Date",C318-B318)</f>
        <v>Invalid Date</v>
      </c>
      <c r="W318" s="4" t="str">
        <f>IF(OR(B318="Invalid Date",C318="Invalid Date"),"Invalid Date",IF(C318&lt;B318,"Invalid Shipping","OK"))</f>
        <v>Invalid Date</v>
      </c>
      <c r="X318">
        <f t="shared" si="32"/>
        <v>1</v>
      </c>
      <c r="Y318">
        <f t="shared" si="33"/>
        <v>0.2</v>
      </c>
      <c r="Z318">
        <f t="shared" si="34"/>
        <v>3116.0480000000002</v>
      </c>
      <c r="AA318">
        <f t="shared" si="35"/>
        <v>1159.4180000000001</v>
      </c>
      <c r="AB318" s="6">
        <f t="shared" si="36"/>
        <v>0.37207963420332424</v>
      </c>
      <c r="AC318" t="str">
        <f t="shared" si="37"/>
        <v>February</v>
      </c>
      <c r="AD318">
        <f t="shared" si="38"/>
        <v>2024</v>
      </c>
      <c r="AE318" t="str">
        <f t="shared" si="39"/>
        <v>Invalid</v>
      </c>
    </row>
    <row r="319" spans="1:31">
      <c r="A319" t="s">
        <v>1057</v>
      </c>
      <c r="B319" s="3">
        <v>45898</v>
      </c>
      <c r="C319" s="3">
        <v>45904</v>
      </c>
      <c r="D319" t="s">
        <v>1058</v>
      </c>
      <c r="E319" t="s">
        <v>79</v>
      </c>
      <c r="F319" t="s">
        <v>90</v>
      </c>
      <c r="G319" t="s">
        <v>54</v>
      </c>
      <c r="H319" t="s">
        <v>185</v>
      </c>
      <c r="I319" t="s">
        <v>186</v>
      </c>
      <c r="J319" t="s">
        <v>41</v>
      </c>
      <c r="K319" t="s">
        <v>42</v>
      </c>
      <c r="L319" t="s">
        <v>1059</v>
      </c>
      <c r="M319" t="s">
        <v>50</v>
      </c>
      <c r="N319">
        <v>9</v>
      </c>
      <c r="O319">
        <v>2996.97</v>
      </c>
      <c r="P319">
        <v>0.15</v>
      </c>
      <c r="Q319">
        <v>22926.82</v>
      </c>
      <c r="R319">
        <v>14621.59</v>
      </c>
      <c r="S319">
        <v>8305.23</v>
      </c>
      <c r="T319" t="s">
        <v>32</v>
      </c>
      <c r="U319" t="s">
        <v>33</v>
      </c>
      <c r="V319">
        <f>IF(OR(B319="Invalid Date",C319="Invalid Date"),"Invalid Date",C319-B319)</f>
        <v>6</v>
      </c>
      <c r="W319" s="4" t="str">
        <f>IF(OR(B319="Invalid Date",C319="Invalid Date"),"Invalid Date",IF(C319&lt;B319,"Invalid Shipping","OK"))</f>
        <v>OK</v>
      </c>
      <c r="X319">
        <f t="shared" si="32"/>
        <v>1</v>
      </c>
      <c r="Y319">
        <f t="shared" si="33"/>
        <v>0.15</v>
      </c>
      <c r="Z319">
        <f t="shared" si="34"/>
        <v>22926.820499999998</v>
      </c>
      <c r="AA319">
        <f t="shared" si="35"/>
        <v>8305.2304999999978</v>
      </c>
      <c r="AB319" s="6">
        <f t="shared" si="36"/>
        <v>0.36224955396671765</v>
      </c>
      <c r="AC319" t="str">
        <f t="shared" si="37"/>
        <v>August</v>
      </c>
      <c r="AD319">
        <f t="shared" si="38"/>
        <v>2025</v>
      </c>
      <c r="AE319" t="str">
        <f t="shared" si="39"/>
        <v>Clean</v>
      </c>
    </row>
    <row r="320" spans="1:31">
      <c r="A320" t="s">
        <v>1060</v>
      </c>
      <c r="B320" s="3">
        <v>45407</v>
      </c>
      <c r="C320" s="3">
        <v>45412</v>
      </c>
      <c r="D320" t="s">
        <v>1061</v>
      </c>
      <c r="E320" t="s">
        <v>36</v>
      </c>
      <c r="F320" t="s">
        <v>37</v>
      </c>
      <c r="G320" t="s">
        <v>54</v>
      </c>
      <c r="H320" t="s">
        <v>175</v>
      </c>
      <c r="I320" t="s">
        <v>176</v>
      </c>
      <c r="J320" t="s">
        <v>74</v>
      </c>
      <c r="K320" t="s">
        <v>171</v>
      </c>
      <c r="L320" t="s">
        <v>1062</v>
      </c>
      <c r="M320" t="s">
        <v>59</v>
      </c>
      <c r="N320">
        <v>3</v>
      </c>
      <c r="O320">
        <v>4149.46</v>
      </c>
      <c r="P320">
        <v>0.1</v>
      </c>
      <c r="Q320">
        <v>11203.54</v>
      </c>
      <c r="R320">
        <v>8452.93</v>
      </c>
      <c r="S320">
        <v>2750.61</v>
      </c>
      <c r="T320" t="s">
        <v>32</v>
      </c>
      <c r="U320" t="s">
        <v>33</v>
      </c>
      <c r="V320">
        <f>IF(OR(B320="Invalid Date",C320="Invalid Date"),"Invalid Date",C320-B320)</f>
        <v>5</v>
      </c>
      <c r="W320" s="4" t="str">
        <f>IF(OR(B320="Invalid Date",C320="Invalid Date"),"Invalid Date",IF(C320&lt;B320,"Invalid Shipping","OK"))</f>
        <v>OK</v>
      </c>
      <c r="X320">
        <f t="shared" si="32"/>
        <v>1</v>
      </c>
      <c r="Y320">
        <f t="shared" si="33"/>
        <v>0.1</v>
      </c>
      <c r="Z320">
        <f t="shared" si="34"/>
        <v>11203.542000000001</v>
      </c>
      <c r="AA320">
        <f t="shared" si="35"/>
        <v>2750.612000000001</v>
      </c>
      <c r="AB320" s="6">
        <f t="shared" si="36"/>
        <v>0.24551271374713468</v>
      </c>
      <c r="AC320" t="str">
        <f t="shared" si="37"/>
        <v>April</v>
      </c>
      <c r="AD320">
        <f t="shared" si="38"/>
        <v>2024</v>
      </c>
      <c r="AE320" t="str">
        <f t="shared" si="39"/>
        <v>Clean</v>
      </c>
    </row>
    <row r="321" spans="1:31">
      <c r="A321" t="s">
        <v>1063</v>
      </c>
      <c r="B321" s="3">
        <v>45525</v>
      </c>
      <c r="C321" s="3" t="s">
        <v>2763</v>
      </c>
      <c r="D321" t="s">
        <v>1064</v>
      </c>
      <c r="E321" t="s">
        <v>162</v>
      </c>
      <c r="F321" t="s">
        <v>24</v>
      </c>
      <c r="G321" t="s">
        <v>63</v>
      </c>
      <c r="H321" t="s">
        <v>180</v>
      </c>
      <c r="I321" t="s">
        <v>181</v>
      </c>
      <c r="J321" t="s">
        <v>28</v>
      </c>
      <c r="K321" t="s">
        <v>153</v>
      </c>
      <c r="L321" t="s">
        <v>1065</v>
      </c>
      <c r="M321" t="s">
        <v>50</v>
      </c>
      <c r="N321">
        <v>1</v>
      </c>
      <c r="O321">
        <v>270.27999999999997</v>
      </c>
      <c r="P321">
        <v>0</v>
      </c>
      <c r="Q321">
        <v>270.27999999999997</v>
      </c>
      <c r="R321">
        <v>156.34</v>
      </c>
      <c r="S321">
        <v>113.94</v>
      </c>
      <c r="T321" t="s">
        <v>32</v>
      </c>
      <c r="U321" t="s">
        <v>33</v>
      </c>
      <c r="V321" t="str">
        <f>IF(OR(B321="Invalid Date",C321="Invalid Date"),"Invalid Date",C321-B321)</f>
        <v>Invalid Date</v>
      </c>
      <c r="W321" s="4" t="str">
        <f>IF(OR(B321="Invalid Date",C321="Invalid Date"),"Invalid Date",IF(C321&lt;B321,"Invalid Shipping","OK"))</f>
        <v>Invalid Date</v>
      </c>
      <c r="X321">
        <f t="shared" si="32"/>
        <v>1</v>
      </c>
      <c r="Y321">
        <f t="shared" si="33"/>
        <v>0</v>
      </c>
      <c r="Z321">
        <f t="shared" si="34"/>
        <v>270.27999999999997</v>
      </c>
      <c r="AA321">
        <f t="shared" si="35"/>
        <v>113.93999999999997</v>
      </c>
      <c r="AB321" s="6">
        <f t="shared" si="36"/>
        <v>0.42156282373834536</v>
      </c>
      <c r="AC321" t="str">
        <f t="shared" si="37"/>
        <v>August</v>
      </c>
      <c r="AD321">
        <f t="shared" si="38"/>
        <v>2024</v>
      </c>
      <c r="AE321" t="str">
        <f t="shared" si="39"/>
        <v>Invalid</v>
      </c>
    </row>
    <row r="322" spans="1:31">
      <c r="A322" t="s">
        <v>1066</v>
      </c>
      <c r="B322" s="3">
        <v>45394</v>
      </c>
      <c r="C322" s="3">
        <v>45455</v>
      </c>
      <c r="D322" t="s">
        <v>1067</v>
      </c>
      <c r="E322" t="s">
        <v>128</v>
      </c>
      <c r="F322" t="s">
        <v>95</v>
      </c>
      <c r="G322" t="s">
        <v>38</v>
      </c>
      <c r="H322" t="s">
        <v>99</v>
      </c>
      <c r="I322" t="s">
        <v>100</v>
      </c>
      <c r="J322" t="s">
        <v>28</v>
      </c>
      <c r="K322" t="s">
        <v>48</v>
      </c>
      <c r="L322" t="s">
        <v>1068</v>
      </c>
      <c r="M322" t="s">
        <v>31</v>
      </c>
      <c r="N322">
        <v>3</v>
      </c>
      <c r="O322">
        <v>876.14</v>
      </c>
      <c r="P322" t="s">
        <v>463</v>
      </c>
      <c r="Q322">
        <v>2628.42</v>
      </c>
      <c r="R322">
        <v>1541.54</v>
      </c>
      <c r="S322">
        <v>1086.8800000000001</v>
      </c>
      <c r="T322" t="s">
        <v>111</v>
      </c>
      <c r="U322" t="s">
        <v>103</v>
      </c>
      <c r="V322">
        <f>IF(OR(B322="Invalid Date",C322="Invalid Date"),"Invalid Date",C322-B322)</f>
        <v>61</v>
      </c>
      <c r="W322" s="4" t="str">
        <f>IF(OR(B322="Invalid Date",C322="Invalid Date"),"Invalid Date",IF(C322&lt;B322,"Invalid Shipping","OK"))</f>
        <v>OK</v>
      </c>
      <c r="X322">
        <f t="shared" si="32"/>
        <v>1</v>
      </c>
      <c r="Y322" t="str">
        <f t="shared" si="33"/>
        <v>Invalid</v>
      </c>
      <c r="Z322" t="str">
        <f t="shared" si="34"/>
        <v/>
      </c>
      <c r="AA322" t="str">
        <f t="shared" si="35"/>
        <v/>
      </c>
      <c r="AB322" s="6" t="str">
        <f t="shared" si="36"/>
        <v/>
      </c>
      <c r="AC322" t="str">
        <f t="shared" si="37"/>
        <v>April</v>
      </c>
      <c r="AD322">
        <f t="shared" si="38"/>
        <v>2024</v>
      </c>
      <c r="AE322" t="str">
        <f t="shared" si="39"/>
        <v>Invalid</v>
      </c>
    </row>
    <row r="323" spans="1:31">
      <c r="A323" t="s">
        <v>1069</v>
      </c>
      <c r="B323" s="3" t="s">
        <v>2763</v>
      </c>
      <c r="C323" s="3">
        <v>45473</v>
      </c>
      <c r="D323" t="s">
        <v>1070</v>
      </c>
      <c r="E323" t="s">
        <v>79</v>
      </c>
      <c r="F323" t="s">
        <v>37</v>
      </c>
      <c r="G323" t="s">
        <v>63</v>
      </c>
      <c r="H323" t="s">
        <v>190</v>
      </c>
      <c r="I323" t="s">
        <v>191</v>
      </c>
      <c r="J323" t="s">
        <v>74</v>
      </c>
      <c r="K323" t="s">
        <v>75</v>
      </c>
      <c r="L323" t="s">
        <v>1071</v>
      </c>
      <c r="M323" t="s">
        <v>44</v>
      </c>
      <c r="N323">
        <v>4</v>
      </c>
      <c r="O323">
        <v>674.82</v>
      </c>
      <c r="P323">
        <v>0</v>
      </c>
      <c r="Q323">
        <v>2699.28</v>
      </c>
      <c r="R323">
        <v>1759.76</v>
      </c>
      <c r="S323">
        <v>939.52</v>
      </c>
      <c r="T323" t="s">
        <v>155</v>
      </c>
      <c r="U323" t="s">
        <v>68</v>
      </c>
      <c r="V323" t="str">
        <f>IF(OR(B323="Invalid Date",C323="Invalid Date"),"Invalid Date",C323-B323)</f>
        <v>Invalid Date</v>
      </c>
      <c r="W323" s="4" t="str">
        <f>IF(OR(B323="Invalid Date",C323="Invalid Date"),"Invalid Date",IF(C323&lt;B323,"Invalid Shipping","OK"))</f>
        <v>Invalid Date</v>
      </c>
      <c r="X323">
        <f t="shared" ref="X323:X386" si="40">COUNTIF($A:$A,A323)</f>
        <v>1</v>
      </c>
      <c r="Y323">
        <f t="shared" ref="Y323:Y386" si="41">IF(P323="",0,IF(OR(P323&lt;0,P323&gt;1),"Invalid",P323))</f>
        <v>0</v>
      </c>
      <c r="Z323">
        <f t="shared" ref="Z323:Z386" si="42">IF(ISTEXT(Y323),"",N323*O323*(1-Y323))</f>
        <v>2699.28</v>
      </c>
      <c r="AA323">
        <f t="shared" ref="AA323:AA386" si="43">IF(Z323="","",Z323-R323)</f>
        <v>939.52000000000021</v>
      </c>
      <c r="AB323" s="6">
        <f t="shared" ref="AB323:AB386" si="44">IF(OR(Z323="",Z323=0),"",AA323/Z323)</f>
        <v>0.34806318722029583</v>
      </c>
      <c r="AC323" t="str">
        <f t="shared" ref="AC323:AC386" si="45">IF(ISNUMBER(B323),TEXT(B323,"mmmm"),"")</f>
        <v/>
      </c>
      <c r="AD323" t="str">
        <f t="shared" ref="AD323:AD386" si="46">IF(ISNUMBER(B323),YEAR(B323),"")</f>
        <v/>
      </c>
      <c r="AE323" t="str">
        <f t="shared" ref="AE323:AE386" si="47">IF(OR(B323="Invalid Date",C323="Invalid Date",W323="Invalid Date",W323="Invalid Shipping",Y323="Invalid"),"Invalid",IF(OR(G323="Unknown",M323="Unknown"),"Warning","Clean"))</f>
        <v>Invalid</v>
      </c>
    </row>
    <row r="324" spans="1:31">
      <c r="A324" t="s">
        <v>1072</v>
      </c>
      <c r="B324" s="3">
        <v>45608</v>
      </c>
      <c r="C324" s="3">
        <v>45608</v>
      </c>
      <c r="D324" t="s">
        <v>1073</v>
      </c>
      <c r="E324" t="s">
        <v>47</v>
      </c>
      <c r="F324" t="s">
        <v>24</v>
      </c>
      <c r="G324" t="s">
        <v>25</v>
      </c>
      <c r="H324" t="s">
        <v>136</v>
      </c>
      <c r="I324" t="s">
        <v>137</v>
      </c>
      <c r="J324" t="s">
        <v>74</v>
      </c>
      <c r="K324" t="s">
        <v>171</v>
      </c>
      <c r="L324" t="s">
        <v>1074</v>
      </c>
      <c r="M324" t="s">
        <v>31</v>
      </c>
      <c r="N324">
        <v>6</v>
      </c>
      <c r="O324">
        <v>1369.48</v>
      </c>
      <c r="P324">
        <v>0.15</v>
      </c>
      <c r="Q324">
        <v>6984.35</v>
      </c>
      <c r="R324">
        <v>4023.63</v>
      </c>
      <c r="S324">
        <v>2960.72</v>
      </c>
      <c r="T324" t="s">
        <v>32</v>
      </c>
      <c r="U324" t="s">
        <v>33</v>
      </c>
      <c r="V324">
        <f>IF(OR(B324="Invalid Date",C324="Invalid Date"),"Invalid Date",C324-B324)</f>
        <v>0</v>
      </c>
      <c r="W324" s="4" t="str">
        <f>IF(OR(B324="Invalid Date",C324="Invalid Date"),"Invalid Date",IF(C324&lt;B324,"Invalid Shipping","OK"))</f>
        <v>OK</v>
      </c>
      <c r="X324">
        <f t="shared" si="40"/>
        <v>1</v>
      </c>
      <c r="Y324">
        <f t="shared" si="41"/>
        <v>0.15</v>
      </c>
      <c r="Z324">
        <f t="shared" si="42"/>
        <v>6984.3480000000009</v>
      </c>
      <c r="AA324">
        <f t="shared" si="43"/>
        <v>2960.7180000000008</v>
      </c>
      <c r="AB324" s="6">
        <f t="shared" si="44"/>
        <v>0.42390757161584736</v>
      </c>
      <c r="AC324" t="str">
        <f t="shared" si="45"/>
        <v>November</v>
      </c>
      <c r="AD324">
        <f t="shared" si="46"/>
        <v>2024</v>
      </c>
      <c r="AE324" t="str">
        <f t="shared" si="47"/>
        <v>Clean</v>
      </c>
    </row>
    <row r="325" spans="1:31">
      <c r="A325" t="s">
        <v>1075</v>
      </c>
      <c r="B325" s="3">
        <v>45347</v>
      </c>
      <c r="C325" s="3">
        <v>45351</v>
      </c>
      <c r="D325" t="s">
        <v>1076</v>
      </c>
      <c r="E325" t="s">
        <v>47</v>
      </c>
      <c r="F325" t="s">
        <v>37</v>
      </c>
      <c r="G325" t="s">
        <v>63</v>
      </c>
      <c r="H325" t="s">
        <v>190</v>
      </c>
      <c r="I325" t="s">
        <v>191</v>
      </c>
      <c r="J325" t="s">
        <v>41</v>
      </c>
      <c r="K325" t="s">
        <v>57</v>
      </c>
      <c r="L325" t="s">
        <v>150</v>
      </c>
      <c r="M325" t="s">
        <v>59</v>
      </c>
      <c r="N325">
        <v>9</v>
      </c>
      <c r="O325">
        <v>1331.46</v>
      </c>
      <c r="P325">
        <v>0.15</v>
      </c>
      <c r="Q325">
        <v>10185.67</v>
      </c>
      <c r="R325">
        <v>6479.31</v>
      </c>
      <c r="S325">
        <v>3706.36</v>
      </c>
      <c r="T325" t="s">
        <v>32</v>
      </c>
      <c r="U325" t="s">
        <v>33</v>
      </c>
      <c r="V325">
        <f>IF(OR(B325="Invalid Date",C325="Invalid Date"),"Invalid Date",C325-B325)</f>
        <v>4</v>
      </c>
      <c r="W325" s="4" t="str">
        <f>IF(OR(B325="Invalid Date",C325="Invalid Date"),"Invalid Date",IF(C325&lt;B325,"Invalid Shipping","OK"))</f>
        <v>OK</v>
      </c>
      <c r="X325">
        <f t="shared" si="40"/>
        <v>1</v>
      </c>
      <c r="Y325">
        <f t="shared" si="41"/>
        <v>0.15</v>
      </c>
      <c r="Z325">
        <f t="shared" si="42"/>
        <v>10185.669</v>
      </c>
      <c r="AA325">
        <f t="shared" si="43"/>
        <v>3706.3589999999995</v>
      </c>
      <c r="AB325" s="6">
        <f t="shared" si="44"/>
        <v>0.36387978050337189</v>
      </c>
      <c r="AC325" t="str">
        <f t="shared" si="45"/>
        <v>February</v>
      </c>
      <c r="AD325">
        <f t="shared" si="46"/>
        <v>2024</v>
      </c>
      <c r="AE325" t="str">
        <f t="shared" si="47"/>
        <v>Clean</v>
      </c>
    </row>
    <row r="326" spans="1:31">
      <c r="A326" t="s">
        <v>1077</v>
      </c>
      <c r="B326" s="3">
        <v>45869</v>
      </c>
      <c r="C326" s="3">
        <v>45871</v>
      </c>
      <c r="D326" t="s">
        <v>1078</v>
      </c>
      <c r="E326" t="s">
        <v>141</v>
      </c>
      <c r="F326" t="s">
        <v>95</v>
      </c>
      <c r="G326" t="s">
        <v>54</v>
      </c>
      <c r="H326" t="s">
        <v>84</v>
      </c>
      <c r="I326" t="s">
        <v>85</v>
      </c>
      <c r="J326" t="s">
        <v>28</v>
      </c>
      <c r="K326" t="s">
        <v>91</v>
      </c>
      <c r="L326" t="s">
        <v>1079</v>
      </c>
      <c r="M326" t="s">
        <v>44</v>
      </c>
      <c r="N326">
        <v>1</v>
      </c>
      <c r="O326">
        <v>1947.88</v>
      </c>
      <c r="P326">
        <v>0.15</v>
      </c>
      <c r="Q326">
        <v>1655.7</v>
      </c>
      <c r="R326">
        <v>1354.8</v>
      </c>
      <c r="S326">
        <v>300.89999999999998</v>
      </c>
      <c r="T326" t="s">
        <v>32</v>
      </c>
      <c r="U326" t="s">
        <v>103</v>
      </c>
      <c r="V326">
        <f>IF(OR(B326="Invalid Date",C326="Invalid Date"),"Invalid Date",C326-B326)</f>
        <v>2</v>
      </c>
      <c r="W326" s="4" t="str">
        <f>IF(OR(B326="Invalid Date",C326="Invalid Date"),"Invalid Date",IF(C326&lt;B326,"Invalid Shipping","OK"))</f>
        <v>OK</v>
      </c>
      <c r="X326">
        <f t="shared" si="40"/>
        <v>1</v>
      </c>
      <c r="Y326">
        <f t="shared" si="41"/>
        <v>0.15</v>
      </c>
      <c r="Z326">
        <f t="shared" si="42"/>
        <v>1655.6980000000001</v>
      </c>
      <c r="AA326">
        <f t="shared" si="43"/>
        <v>300.89800000000014</v>
      </c>
      <c r="AB326" s="6">
        <f t="shared" si="44"/>
        <v>0.1817348332848141</v>
      </c>
      <c r="AC326" t="str">
        <f t="shared" si="45"/>
        <v>July</v>
      </c>
      <c r="AD326">
        <f t="shared" si="46"/>
        <v>2025</v>
      </c>
      <c r="AE326" t="str">
        <f t="shared" si="47"/>
        <v>Clean</v>
      </c>
    </row>
    <row r="327" spans="1:31">
      <c r="A327" t="s">
        <v>1080</v>
      </c>
      <c r="B327" s="3" t="s">
        <v>2763</v>
      </c>
      <c r="C327" s="3">
        <v>45922</v>
      </c>
      <c r="D327" t="s">
        <v>1081</v>
      </c>
      <c r="E327" t="s">
        <v>132</v>
      </c>
      <c r="F327" t="s">
        <v>95</v>
      </c>
      <c r="G327" t="s">
        <v>38</v>
      </c>
      <c r="H327" t="s">
        <v>99</v>
      </c>
      <c r="I327" t="s">
        <v>100</v>
      </c>
      <c r="J327" t="s">
        <v>74</v>
      </c>
      <c r="K327" t="s">
        <v>80</v>
      </c>
      <c r="L327" t="s">
        <v>1082</v>
      </c>
      <c r="M327" t="s">
        <v>31</v>
      </c>
      <c r="N327">
        <v>5</v>
      </c>
      <c r="O327">
        <v>3671.2</v>
      </c>
      <c r="P327">
        <v>0.15</v>
      </c>
      <c r="Q327">
        <v>15602.6</v>
      </c>
      <c r="R327">
        <v>11908.52</v>
      </c>
      <c r="S327">
        <v>3694.08</v>
      </c>
      <c r="T327" t="s">
        <v>32</v>
      </c>
      <c r="U327" t="s">
        <v>33</v>
      </c>
      <c r="V327" t="str">
        <f>IF(OR(B327="Invalid Date",C327="Invalid Date"),"Invalid Date",C327-B327)</f>
        <v>Invalid Date</v>
      </c>
      <c r="W327" s="4" t="str">
        <f>IF(OR(B327="Invalid Date",C327="Invalid Date"),"Invalid Date",IF(C327&lt;B327,"Invalid Shipping","OK"))</f>
        <v>Invalid Date</v>
      </c>
      <c r="X327">
        <f t="shared" si="40"/>
        <v>1</v>
      </c>
      <c r="Y327">
        <f t="shared" si="41"/>
        <v>0.15</v>
      </c>
      <c r="Z327">
        <f t="shared" si="42"/>
        <v>15602.6</v>
      </c>
      <c r="AA327">
        <f t="shared" si="43"/>
        <v>3694.08</v>
      </c>
      <c r="AB327" s="6">
        <f t="shared" si="44"/>
        <v>0.236760539910015</v>
      </c>
      <c r="AC327" t="str">
        <f t="shared" si="45"/>
        <v/>
      </c>
      <c r="AD327" t="str">
        <f t="shared" si="46"/>
        <v/>
      </c>
      <c r="AE327" t="str">
        <f t="shared" si="47"/>
        <v>Invalid</v>
      </c>
    </row>
    <row r="328" spans="1:31">
      <c r="A328" t="s">
        <v>1083</v>
      </c>
      <c r="B328" s="3">
        <v>45860</v>
      </c>
      <c r="C328" s="3" t="s">
        <v>2763</v>
      </c>
      <c r="D328" t="s">
        <v>1084</v>
      </c>
      <c r="E328" t="s">
        <v>132</v>
      </c>
      <c r="F328" t="s">
        <v>90</v>
      </c>
      <c r="G328" t="s">
        <v>38</v>
      </c>
      <c r="H328" t="s">
        <v>228</v>
      </c>
      <c r="I328" t="s">
        <v>229</v>
      </c>
      <c r="J328" t="s">
        <v>41</v>
      </c>
      <c r="K328" t="s">
        <v>57</v>
      </c>
      <c r="L328" t="s">
        <v>1085</v>
      </c>
      <c r="M328" t="s">
        <v>44</v>
      </c>
      <c r="N328">
        <v>5</v>
      </c>
      <c r="O328">
        <v>3187.05</v>
      </c>
      <c r="P328">
        <v>0.05</v>
      </c>
      <c r="Q328">
        <v>15138.49</v>
      </c>
      <c r="R328">
        <v>11235.72</v>
      </c>
      <c r="S328">
        <v>3902.77</v>
      </c>
      <c r="T328" t="s">
        <v>32</v>
      </c>
      <c r="U328" t="s">
        <v>33</v>
      </c>
      <c r="V328" t="str">
        <f>IF(OR(B328="Invalid Date",C328="Invalid Date"),"Invalid Date",C328-B328)</f>
        <v>Invalid Date</v>
      </c>
      <c r="W328" s="4" t="str">
        <f>IF(OR(B328="Invalid Date",C328="Invalid Date"),"Invalid Date",IF(C328&lt;B328,"Invalid Shipping","OK"))</f>
        <v>Invalid Date</v>
      </c>
      <c r="X328">
        <f t="shared" si="40"/>
        <v>1</v>
      </c>
      <c r="Y328">
        <f t="shared" si="41"/>
        <v>0.05</v>
      </c>
      <c r="Z328">
        <f t="shared" si="42"/>
        <v>15138.487499999999</v>
      </c>
      <c r="AA328">
        <f t="shared" si="43"/>
        <v>3902.7674999999999</v>
      </c>
      <c r="AB328" s="6">
        <f t="shared" si="44"/>
        <v>0.25780432160082045</v>
      </c>
      <c r="AC328" t="str">
        <f t="shared" si="45"/>
        <v>July</v>
      </c>
      <c r="AD328">
        <f t="shared" si="46"/>
        <v>2025</v>
      </c>
      <c r="AE328" t="str">
        <f t="shared" si="47"/>
        <v>Invalid</v>
      </c>
    </row>
    <row r="329" spans="1:31">
      <c r="A329" t="s">
        <v>1086</v>
      </c>
      <c r="B329" s="3">
        <v>45497</v>
      </c>
      <c r="C329" s="3">
        <v>45500</v>
      </c>
      <c r="D329" t="s">
        <v>1087</v>
      </c>
      <c r="E329" t="s">
        <v>47</v>
      </c>
      <c r="F329" t="s">
        <v>24</v>
      </c>
      <c r="G329" t="s">
        <v>63</v>
      </c>
      <c r="H329" t="s">
        <v>26</v>
      </c>
      <c r="I329" t="s">
        <v>109</v>
      </c>
      <c r="J329" t="s">
        <v>74</v>
      </c>
      <c r="K329" t="s">
        <v>75</v>
      </c>
      <c r="L329" t="s">
        <v>1088</v>
      </c>
      <c r="M329" t="s">
        <v>31</v>
      </c>
      <c r="N329">
        <v>3</v>
      </c>
      <c r="O329">
        <v>1834.55</v>
      </c>
      <c r="P329">
        <v>0.2</v>
      </c>
      <c r="Q329">
        <v>4402.92</v>
      </c>
      <c r="R329">
        <v>2993.94</v>
      </c>
      <c r="S329">
        <v>1408.98</v>
      </c>
      <c r="T329" t="s">
        <v>111</v>
      </c>
      <c r="U329" t="s">
        <v>68</v>
      </c>
      <c r="V329">
        <f>IF(OR(B329="Invalid Date",C329="Invalid Date"),"Invalid Date",C329-B329)</f>
        <v>3</v>
      </c>
      <c r="W329" s="4" t="str">
        <f>IF(OR(B329="Invalid Date",C329="Invalid Date"),"Invalid Date",IF(C329&lt;B329,"Invalid Shipping","OK"))</f>
        <v>OK</v>
      </c>
      <c r="X329">
        <f t="shared" si="40"/>
        <v>1</v>
      </c>
      <c r="Y329">
        <f t="shared" si="41"/>
        <v>0.2</v>
      </c>
      <c r="Z329">
        <f t="shared" si="42"/>
        <v>4402.92</v>
      </c>
      <c r="AA329">
        <f t="shared" si="43"/>
        <v>1408.98</v>
      </c>
      <c r="AB329" s="6">
        <f t="shared" si="44"/>
        <v>0.32001035676323897</v>
      </c>
      <c r="AC329" t="str">
        <f t="shared" si="45"/>
        <v>July</v>
      </c>
      <c r="AD329">
        <f t="shared" si="46"/>
        <v>2024</v>
      </c>
      <c r="AE329" t="str">
        <f t="shared" si="47"/>
        <v>Clean</v>
      </c>
    </row>
    <row r="330" spans="1:31">
      <c r="A330" t="s">
        <v>1089</v>
      </c>
      <c r="B330" s="3">
        <v>45806</v>
      </c>
      <c r="C330" s="3">
        <v>45812</v>
      </c>
      <c r="D330" t="s">
        <v>1090</v>
      </c>
      <c r="E330" t="s">
        <v>162</v>
      </c>
      <c r="F330" t="s">
        <v>24</v>
      </c>
      <c r="G330" t="s">
        <v>63</v>
      </c>
      <c r="H330" t="s">
        <v>64</v>
      </c>
      <c r="I330" t="s">
        <v>65</v>
      </c>
      <c r="J330" t="s">
        <v>28</v>
      </c>
      <c r="K330" t="s">
        <v>124</v>
      </c>
      <c r="L330" t="s">
        <v>1091</v>
      </c>
      <c r="M330" t="s">
        <v>50</v>
      </c>
      <c r="N330">
        <v>6</v>
      </c>
      <c r="O330">
        <v>3100.68</v>
      </c>
      <c r="P330">
        <v>0</v>
      </c>
      <c r="Q330">
        <v>18604.080000000002</v>
      </c>
      <c r="R330">
        <v>15834.3</v>
      </c>
      <c r="S330">
        <v>2769.78</v>
      </c>
      <c r="T330" t="s">
        <v>32</v>
      </c>
      <c r="U330" t="s">
        <v>33</v>
      </c>
      <c r="V330">
        <f>IF(OR(B330="Invalid Date",C330="Invalid Date"),"Invalid Date",C330-B330)</f>
        <v>6</v>
      </c>
      <c r="W330" s="4" t="str">
        <f>IF(OR(B330="Invalid Date",C330="Invalid Date"),"Invalid Date",IF(C330&lt;B330,"Invalid Shipping","OK"))</f>
        <v>OK</v>
      </c>
      <c r="X330">
        <f t="shared" si="40"/>
        <v>1</v>
      </c>
      <c r="Y330">
        <f t="shared" si="41"/>
        <v>0</v>
      </c>
      <c r="Z330">
        <f t="shared" si="42"/>
        <v>18604.079999999998</v>
      </c>
      <c r="AA330">
        <f t="shared" si="43"/>
        <v>2769.7799999999988</v>
      </c>
      <c r="AB330" s="6">
        <f t="shared" si="44"/>
        <v>0.1488802456235406</v>
      </c>
      <c r="AC330" t="str">
        <f t="shared" si="45"/>
        <v>May</v>
      </c>
      <c r="AD330">
        <f t="shared" si="46"/>
        <v>2025</v>
      </c>
      <c r="AE330" t="str">
        <f t="shared" si="47"/>
        <v>Clean</v>
      </c>
    </row>
    <row r="331" spans="1:31">
      <c r="A331" t="s">
        <v>1092</v>
      </c>
      <c r="B331" s="3">
        <v>45789</v>
      </c>
      <c r="C331" s="3">
        <v>45795</v>
      </c>
      <c r="D331" t="s">
        <v>1093</v>
      </c>
      <c r="E331" t="s">
        <v>79</v>
      </c>
      <c r="F331" t="s">
        <v>37</v>
      </c>
      <c r="G331" t="s">
        <v>63</v>
      </c>
      <c r="H331" t="s">
        <v>64</v>
      </c>
      <c r="I331" t="s">
        <v>65</v>
      </c>
      <c r="J331" t="s">
        <v>28</v>
      </c>
      <c r="K331" t="s">
        <v>124</v>
      </c>
      <c r="L331" t="s">
        <v>1094</v>
      </c>
      <c r="M331" t="s">
        <v>59</v>
      </c>
      <c r="N331">
        <v>4</v>
      </c>
      <c r="O331">
        <v>4053.03</v>
      </c>
      <c r="P331">
        <v>0.05</v>
      </c>
      <c r="Q331">
        <v>15401.51</v>
      </c>
      <c r="R331">
        <v>8650.42</v>
      </c>
      <c r="S331">
        <v>6751.09</v>
      </c>
      <c r="T331" t="s">
        <v>32</v>
      </c>
      <c r="U331" t="s">
        <v>33</v>
      </c>
      <c r="V331">
        <f>IF(OR(B331="Invalid Date",C331="Invalid Date"),"Invalid Date",C331-B331)</f>
        <v>6</v>
      </c>
      <c r="W331" s="4" t="str">
        <f>IF(OR(B331="Invalid Date",C331="Invalid Date"),"Invalid Date",IF(C331&lt;B331,"Invalid Shipping","OK"))</f>
        <v>OK</v>
      </c>
      <c r="X331">
        <f t="shared" si="40"/>
        <v>1</v>
      </c>
      <c r="Y331">
        <f t="shared" si="41"/>
        <v>0.05</v>
      </c>
      <c r="Z331">
        <f t="shared" si="42"/>
        <v>15401.513999999999</v>
      </c>
      <c r="AA331">
        <f t="shared" si="43"/>
        <v>6751.0939999999991</v>
      </c>
      <c r="AB331" s="6">
        <f t="shared" si="44"/>
        <v>0.43833963336331738</v>
      </c>
      <c r="AC331" t="str">
        <f t="shared" si="45"/>
        <v>May</v>
      </c>
      <c r="AD331">
        <f t="shared" si="46"/>
        <v>2025</v>
      </c>
      <c r="AE331" t="str">
        <f t="shared" si="47"/>
        <v>Clean</v>
      </c>
    </row>
    <row r="332" spans="1:31">
      <c r="A332" t="s">
        <v>1095</v>
      </c>
      <c r="B332" s="3" t="s">
        <v>2763</v>
      </c>
      <c r="C332" s="3" t="s">
        <v>2763</v>
      </c>
      <c r="D332" t="s">
        <v>1096</v>
      </c>
      <c r="E332" t="s">
        <v>53</v>
      </c>
      <c r="F332" t="s">
        <v>95</v>
      </c>
      <c r="G332" t="s">
        <v>25</v>
      </c>
      <c r="H332" t="s">
        <v>122</v>
      </c>
      <c r="I332" t="s">
        <v>123</v>
      </c>
      <c r="J332" t="s">
        <v>74</v>
      </c>
      <c r="K332" t="s">
        <v>75</v>
      </c>
      <c r="L332" t="s">
        <v>1097</v>
      </c>
      <c r="M332" t="s">
        <v>44</v>
      </c>
      <c r="N332">
        <v>1</v>
      </c>
      <c r="O332">
        <v>783.09</v>
      </c>
      <c r="P332">
        <v>0</v>
      </c>
      <c r="Q332">
        <v>783.09</v>
      </c>
      <c r="R332">
        <v>503.89</v>
      </c>
      <c r="S332">
        <v>279.2</v>
      </c>
      <c r="T332" t="s">
        <v>155</v>
      </c>
      <c r="U332" t="s">
        <v>68</v>
      </c>
      <c r="V332" t="str">
        <f>IF(OR(B332="Invalid Date",C332="Invalid Date"),"Invalid Date",C332-B332)</f>
        <v>Invalid Date</v>
      </c>
      <c r="W332" s="4" t="str">
        <f>IF(OR(B332="Invalid Date",C332="Invalid Date"),"Invalid Date",IF(C332&lt;B332,"Invalid Shipping","OK"))</f>
        <v>Invalid Date</v>
      </c>
      <c r="X332">
        <f t="shared" si="40"/>
        <v>1</v>
      </c>
      <c r="Y332">
        <f t="shared" si="41"/>
        <v>0</v>
      </c>
      <c r="Z332">
        <f t="shared" si="42"/>
        <v>783.09</v>
      </c>
      <c r="AA332">
        <f t="shared" si="43"/>
        <v>279.20000000000005</v>
      </c>
      <c r="AB332" s="6">
        <f t="shared" si="44"/>
        <v>0.3565362857398256</v>
      </c>
      <c r="AC332" t="str">
        <f t="shared" si="45"/>
        <v/>
      </c>
      <c r="AD332" t="str">
        <f t="shared" si="46"/>
        <v/>
      </c>
      <c r="AE332" t="str">
        <f t="shared" si="47"/>
        <v>Invalid</v>
      </c>
    </row>
    <row r="333" spans="1:31">
      <c r="A333" t="s">
        <v>1098</v>
      </c>
      <c r="B333" s="3">
        <v>45630</v>
      </c>
      <c r="C333" s="3">
        <v>45632</v>
      </c>
      <c r="D333" t="s">
        <v>1099</v>
      </c>
      <c r="E333" t="s">
        <v>132</v>
      </c>
      <c r="F333" t="s">
        <v>95</v>
      </c>
      <c r="G333" t="s">
        <v>38</v>
      </c>
      <c r="H333" t="s">
        <v>39</v>
      </c>
      <c r="I333" t="s">
        <v>40</v>
      </c>
      <c r="J333" t="s">
        <v>28</v>
      </c>
      <c r="K333" t="s">
        <v>153</v>
      </c>
      <c r="L333" t="s">
        <v>1100</v>
      </c>
      <c r="M333" t="s">
        <v>31</v>
      </c>
      <c r="N333">
        <v>4</v>
      </c>
      <c r="O333">
        <v>2685.66</v>
      </c>
      <c r="P333">
        <v>0</v>
      </c>
      <c r="Q333">
        <v>10742.64</v>
      </c>
      <c r="R333">
        <v>6477.37</v>
      </c>
      <c r="S333">
        <v>4265.2700000000004</v>
      </c>
      <c r="T333" t="s">
        <v>32</v>
      </c>
      <c r="U333" t="s">
        <v>103</v>
      </c>
      <c r="V333">
        <f>IF(OR(B333="Invalid Date",C333="Invalid Date"),"Invalid Date",C333-B333)</f>
        <v>2</v>
      </c>
      <c r="W333" s="4" t="str">
        <f>IF(OR(B333="Invalid Date",C333="Invalid Date"),"Invalid Date",IF(C333&lt;B333,"Invalid Shipping","OK"))</f>
        <v>OK</v>
      </c>
      <c r="X333">
        <f t="shared" si="40"/>
        <v>2</v>
      </c>
      <c r="Y333">
        <f t="shared" si="41"/>
        <v>0</v>
      </c>
      <c r="Z333">
        <f t="shared" si="42"/>
        <v>10742.64</v>
      </c>
      <c r="AA333">
        <f t="shared" si="43"/>
        <v>4265.2699999999995</v>
      </c>
      <c r="AB333" s="6">
        <f t="shared" si="44"/>
        <v>0.39704113700170535</v>
      </c>
      <c r="AC333" t="str">
        <f t="shared" si="45"/>
        <v>December</v>
      </c>
      <c r="AD333">
        <f t="shared" si="46"/>
        <v>2024</v>
      </c>
      <c r="AE333" t="str">
        <f t="shared" si="47"/>
        <v>Clean</v>
      </c>
    </row>
    <row r="334" spans="1:31">
      <c r="A334" t="s">
        <v>1101</v>
      </c>
      <c r="B334" s="3">
        <v>45804</v>
      </c>
      <c r="C334" s="3">
        <v>45805</v>
      </c>
      <c r="D334" t="s">
        <v>1102</v>
      </c>
      <c r="E334" t="s">
        <v>128</v>
      </c>
      <c r="F334" t="s">
        <v>24</v>
      </c>
      <c r="G334" t="s">
        <v>54</v>
      </c>
      <c r="H334" t="s">
        <v>84</v>
      </c>
      <c r="I334" t="s">
        <v>85</v>
      </c>
      <c r="J334" t="s">
        <v>74</v>
      </c>
      <c r="K334" t="s">
        <v>274</v>
      </c>
      <c r="L334" t="s">
        <v>1103</v>
      </c>
      <c r="M334" t="s">
        <v>31</v>
      </c>
      <c r="N334">
        <v>2</v>
      </c>
      <c r="O334">
        <v>3911.96</v>
      </c>
      <c r="P334">
        <v>0</v>
      </c>
      <c r="Q334">
        <v>7823.92</v>
      </c>
      <c r="R334">
        <v>6034.63</v>
      </c>
      <c r="S334">
        <v>1789.29</v>
      </c>
      <c r="T334" t="s">
        <v>32</v>
      </c>
      <c r="U334" t="s">
        <v>33</v>
      </c>
      <c r="V334">
        <f>IF(OR(B334="Invalid Date",C334="Invalid Date"),"Invalid Date",C334-B334)</f>
        <v>1</v>
      </c>
      <c r="W334" s="4" t="str">
        <f>IF(OR(B334="Invalid Date",C334="Invalid Date"),"Invalid Date",IF(C334&lt;B334,"Invalid Shipping","OK"))</f>
        <v>OK</v>
      </c>
      <c r="X334">
        <f t="shared" si="40"/>
        <v>1</v>
      </c>
      <c r="Y334">
        <f t="shared" si="41"/>
        <v>0</v>
      </c>
      <c r="Z334">
        <f t="shared" si="42"/>
        <v>7823.92</v>
      </c>
      <c r="AA334">
        <f t="shared" si="43"/>
        <v>1789.29</v>
      </c>
      <c r="AB334" s="6">
        <f t="shared" si="44"/>
        <v>0.22869482305545047</v>
      </c>
      <c r="AC334" t="str">
        <f t="shared" si="45"/>
        <v>May</v>
      </c>
      <c r="AD334">
        <f t="shared" si="46"/>
        <v>2025</v>
      </c>
      <c r="AE334" t="str">
        <f t="shared" si="47"/>
        <v>Clean</v>
      </c>
    </row>
    <row r="335" spans="1:31">
      <c r="A335" t="s">
        <v>1104</v>
      </c>
      <c r="B335" s="3">
        <v>45830</v>
      </c>
      <c r="C335" s="3">
        <v>45835</v>
      </c>
      <c r="D335" t="s">
        <v>1105</v>
      </c>
      <c r="E335" t="s">
        <v>141</v>
      </c>
      <c r="F335" t="s">
        <v>95</v>
      </c>
      <c r="G335" t="s">
        <v>2767</v>
      </c>
      <c r="H335" t="s">
        <v>350</v>
      </c>
      <c r="I335" t="s">
        <v>351</v>
      </c>
      <c r="J335" t="s">
        <v>74</v>
      </c>
      <c r="K335" t="s">
        <v>171</v>
      </c>
      <c r="L335" t="s">
        <v>1106</v>
      </c>
      <c r="M335" t="s">
        <v>50</v>
      </c>
      <c r="N335">
        <v>2</v>
      </c>
      <c r="O335">
        <v>1468.05</v>
      </c>
      <c r="P335">
        <v>0</v>
      </c>
      <c r="Q335">
        <v>2936.1</v>
      </c>
      <c r="R335">
        <v>1923.1</v>
      </c>
      <c r="S335">
        <v>1013</v>
      </c>
      <c r="T335" t="s">
        <v>32</v>
      </c>
      <c r="U335" t="s">
        <v>33</v>
      </c>
      <c r="V335">
        <f>IF(OR(B335="Invalid Date",C335="Invalid Date"),"Invalid Date",C335-B335)</f>
        <v>5</v>
      </c>
      <c r="W335" s="4" t="str">
        <f>IF(OR(B335="Invalid Date",C335="Invalid Date"),"Invalid Date",IF(C335&lt;B335,"Invalid Shipping","OK"))</f>
        <v>OK</v>
      </c>
      <c r="X335">
        <f t="shared" si="40"/>
        <v>1</v>
      </c>
      <c r="Y335">
        <f t="shared" si="41"/>
        <v>0</v>
      </c>
      <c r="Z335">
        <f t="shared" si="42"/>
        <v>2936.1</v>
      </c>
      <c r="AA335">
        <f t="shared" si="43"/>
        <v>1013</v>
      </c>
      <c r="AB335" s="6">
        <f t="shared" si="44"/>
        <v>0.34501549674738602</v>
      </c>
      <c r="AC335" t="str">
        <f t="shared" si="45"/>
        <v>June</v>
      </c>
      <c r="AD335">
        <f t="shared" si="46"/>
        <v>2025</v>
      </c>
      <c r="AE335" t="str">
        <f t="shared" si="47"/>
        <v>Warning</v>
      </c>
    </row>
    <row r="336" spans="1:31">
      <c r="A336" t="s">
        <v>1107</v>
      </c>
      <c r="B336" s="3">
        <v>45547</v>
      </c>
      <c r="C336" s="3">
        <v>45552</v>
      </c>
      <c r="D336" t="s">
        <v>1108</v>
      </c>
      <c r="E336" t="s">
        <v>62</v>
      </c>
      <c r="F336" t="s">
        <v>24</v>
      </c>
      <c r="G336" t="s">
        <v>38</v>
      </c>
      <c r="H336" t="s">
        <v>228</v>
      </c>
      <c r="I336" t="s">
        <v>229</v>
      </c>
      <c r="J336" t="s">
        <v>28</v>
      </c>
      <c r="K336" t="s">
        <v>124</v>
      </c>
      <c r="L336" t="s">
        <v>1109</v>
      </c>
      <c r="M336" t="s">
        <v>50</v>
      </c>
      <c r="N336">
        <v>9</v>
      </c>
      <c r="O336">
        <v>1921.47</v>
      </c>
      <c r="P336">
        <v>0.25</v>
      </c>
      <c r="Q336">
        <v>12969.92</v>
      </c>
      <c r="R336">
        <v>9398.4599999999991</v>
      </c>
      <c r="S336">
        <v>3571.46</v>
      </c>
      <c r="T336" t="s">
        <v>32</v>
      </c>
      <c r="U336" t="s">
        <v>33</v>
      </c>
      <c r="V336">
        <f>IF(OR(B336="Invalid Date",C336="Invalid Date"),"Invalid Date",C336-B336)</f>
        <v>5</v>
      </c>
      <c r="W336" s="4" t="str">
        <f>IF(OR(B336="Invalid Date",C336="Invalid Date"),"Invalid Date",IF(C336&lt;B336,"Invalid Shipping","OK"))</f>
        <v>OK</v>
      </c>
      <c r="X336">
        <f t="shared" si="40"/>
        <v>1</v>
      </c>
      <c r="Y336">
        <f t="shared" si="41"/>
        <v>0.25</v>
      </c>
      <c r="Z336">
        <f t="shared" si="42"/>
        <v>12969.922500000001</v>
      </c>
      <c r="AA336">
        <f t="shared" si="43"/>
        <v>3571.4625000000015</v>
      </c>
      <c r="AB336" s="6">
        <f t="shared" si="44"/>
        <v>0.27536498386941027</v>
      </c>
      <c r="AC336" t="str">
        <f t="shared" si="45"/>
        <v>September</v>
      </c>
      <c r="AD336">
        <f t="shared" si="46"/>
        <v>2024</v>
      </c>
      <c r="AE336" t="str">
        <f t="shared" si="47"/>
        <v>Clean</v>
      </c>
    </row>
    <row r="337" spans="1:31">
      <c r="A337" t="s">
        <v>1110</v>
      </c>
      <c r="B337" s="3" t="s">
        <v>2763</v>
      </c>
      <c r="C337" s="3">
        <v>45826</v>
      </c>
      <c r="D337" t="s">
        <v>1111</v>
      </c>
      <c r="E337" t="s">
        <v>118</v>
      </c>
      <c r="F337" t="s">
        <v>95</v>
      </c>
      <c r="G337" t="s">
        <v>63</v>
      </c>
      <c r="H337" t="s">
        <v>72</v>
      </c>
      <c r="I337" t="s">
        <v>73</v>
      </c>
      <c r="J337" t="s">
        <v>28</v>
      </c>
      <c r="K337" t="s">
        <v>29</v>
      </c>
      <c r="L337" t="s">
        <v>1112</v>
      </c>
      <c r="M337" t="s">
        <v>50</v>
      </c>
      <c r="N337">
        <v>3</v>
      </c>
      <c r="O337">
        <v>4289.37</v>
      </c>
      <c r="P337">
        <v>0.1</v>
      </c>
      <c r="Q337">
        <v>11581.3</v>
      </c>
      <c r="R337">
        <v>6829.43</v>
      </c>
      <c r="S337">
        <v>4751.87</v>
      </c>
      <c r="T337" t="s">
        <v>32</v>
      </c>
      <c r="U337" t="s">
        <v>33</v>
      </c>
      <c r="V337" t="str">
        <f>IF(OR(B337="Invalid Date",C337="Invalid Date"),"Invalid Date",C337-B337)</f>
        <v>Invalid Date</v>
      </c>
      <c r="W337" s="4" t="str">
        <f>IF(OR(B337="Invalid Date",C337="Invalid Date"),"Invalid Date",IF(C337&lt;B337,"Invalid Shipping","OK"))</f>
        <v>Invalid Date</v>
      </c>
      <c r="X337">
        <f t="shared" si="40"/>
        <v>2</v>
      </c>
      <c r="Y337">
        <f t="shared" si="41"/>
        <v>0.1</v>
      </c>
      <c r="Z337">
        <f t="shared" si="42"/>
        <v>11581.299000000001</v>
      </c>
      <c r="AA337">
        <f t="shared" si="43"/>
        <v>4751.8690000000006</v>
      </c>
      <c r="AB337" s="6">
        <f t="shared" si="44"/>
        <v>0.41030535521101735</v>
      </c>
      <c r="AC337" t="str">
        <f t="shared" si="45"/>
        <v/>
      </c>
      <c r="AD337" t="str">
        <f t="shared" si="46"/>
        <v/>
      </c>
      <c r="AE337" t="str">
        <f t="shared" si="47"/>
        <v>Invalid</v>
      </c>
    </row>
    <row r="338" spans="1:31">
      <c r="A338" t="s">
        <v>1113</v>
      </c>
      <c r="B338" s="3">
        <v>45368</v>
      </c>
      <c r="C338" s="3" t="s">
        <v>2763</v>
      </c>
      <c r="D338" t="s">
        <v>865</v>
      </c>
      <c r="E338" t="s">
        <v>128</v>
      </c>
      <c r="F338" t="s">
        <v>24</v>
      </c>
      <c r="G338" t="s">
        <v>25</v>
      </c>
      <c r="H338" t="s">
        <v>26</v>
      </c>
      <c r="I338" t="s">
        <v>27</v>
      </c>
      <c r="J338" t="s">
        <v>74</v>
      </c>
      <c r="K338" t="s">
        <v>80</v>
      </c>
      <c r="L338" t="s">
        <v>1114</v>
      </c>
      <c r="M338" t="s">
        <v>50</v>
      </c>
      <c r="N338">
        <v>8</v>
      </c>
      <c r="O338">
        <v>1992.57</v>
      </c>
      <c r="P338">
        <v>0</v>
      </c>
      <c r="Q338">
        <v>15940.56</v>
      </c>
      <c r="R338">
        <v>12347.15</v>
      </c>
      <c r="S338">
        <v>3593.41</v>
      </c>
      <c r="T338" t="s">
        <v>32</v>
      </c>
      <c r="U338" t="s">
        <v>33</v>
      </c>
      <c r="V338" t="str">
        <f>IF(OR(B338="Invalid Date",C338="Invalid Date"),"Invalid Date",C338-B338)</f>
        <v>Invalid Date</v>
      </c>
      <c r="W338" s="4" t="str">
        <f>IF(OR(B338="Invalid Date",C338="Invalid Date"),"Invalid Date",IF(C338&lt;B338,"Invalid Shipping","OK"))</f>
        <v>Invalid Date</v>
      </c>
      <c r="X338">
        <f t="shared" si="40"/>
        <v>1</v>
      </c>
      <c r="Y338">
        <f t="shared" si="41"/>
        <v>0</v>
      </c>
      <c r="Z338">
        <f t="shared" si="42"/>
        <v>15940.56</v>
      </c>
      <c r="AA338">
        <f t="shared" si="43"/>
        <v>3593.41</v>
      </c>
      <c r="AB338" s="6">
        <f t="shared" si="44"/>
        <v>0.2254255810335396</v>
      </c>
      <c r="AC338" t="str">
        <f t="shared" si="45"/>
        <v>March</v>
      </c>
      <c r="AD338">
        <f t="shared" si="46"/>
        <v>2024</v>
      </c>
      <c r="AE338" t="str">
        <f t="shared" si="47"/>
        <v>Invalid</v>
      </c>
    </row>
    <row r="339" spans="1:31">
      <c r="A339" t="s">
        <v>1115</v>
      </c>
      <c r="B339" s="3">
        <v>45516</v>
      </c>
      <c r="C339" s="3">
        <v>45522</v>
      </c>
      <c r="D339" t="s">
        <v>1116</v>
      </c>
      <c r="E339" t="s">
        <v>62</v>
      </c>
      <c r="F339" t="s">
        <v>24</v>
      </c>
      <c r="G339" t="s">
        <v>38</v>
      </c>
      <c r="H339" t="s">
        <v>166</v>
      </c>
      <c r="I339" t="s">
        <v>167</v>
      </c>
      <c r="J339" t="s">
        <v>28</v>
      </c>
      <c r="K339" t="s">
        <v>91</v>
      </c>
      <c r="L339" t="s">
        <v>1117</v>
      </c>
      <c r="M339" t="s">
        <v>44</v>
      </c>
      <c r="N339">
        <v>6</v>
      </c>
      <c r="O339">
        <v>1181.74</v>
      </c>
      <c r="P339">
        <v>0</v>
      </c>
      <c r="Q339">
        <v>7090.44</v>
      </c>
      <c r="R339">
        <v>5672.27</v>
      </c>
      <c r="S339">
        <v>1262.8699999999999</v>
      </c>
      <c r="T339" t="s">
        <v>32</v>
      </c>
      <c r="U339" t="s">
        <v>33</v>
      </c>
      <c r="V339">
        <f>IF(OR(B339="Invalid Date",C339="Invalid Date"),"Invalid Date",C339-B339)</f>
        <v>6</v>
      </c>
      <c r="W339" s="4" t="str">
        <f>IF(OR(B339="Invalid Date",C339="Invalid Date"),"Invalid Date",IF(C339&lt;B339,"Invalid Shipping","OK"))</f>
        <v>OK</v>
      </c>
      <c r="X339">
        <f t="shared" si="40"/>
        <v>1</v>
      </c>
      <c r="Y339">
        <f t="shared" si="41"/>
        <v>0</v>
      </c>
      <c r="Z339">
        <f t="shared" si="42"/>
        <v>7090.4400000000005</v>
      </c>
      <c r="AA339">
        <f t="shared" si="43"/>
        <v>1418.17</v>
      </c>
      <c r="AB339" s="6">
        <f t="shared" si="44"/>
        <v>0.20001156486762456</v>
      </c>
      <c r="AC339" t="str">
        <f t="shared" si="45"/>
        <v>August</v>
      </c>
      <c r="AD339">
        <f t="shared" si="46"/>
        <v>2024</v>
      </c>
      <c r="AE339" t="str">
        <f t="shared" si="47"/>
        <v>Clean</v>
      </c>
    </row>
    <row r="340" spans="1:31">
      <c r="A340" t="s">
        <v>1118</v>
      </c>
      <c r="B340" s="3">
        <v>45634</v>
      </c>
      <c r="C340" s="3">
        <v>45516</v>
      </c>
      <c r="D340" t="s">
        <v>1119</v>
      </c>
      <c r="E340" t="s">
        <v>53</v>
      </c>
      <c r="F340" t="s">
        <v>37</v>
      </c>
      <c r="G340" t="s">
        <v>54</v>
      </c>
      <c r="H340" t="s">
        <v>84</v>
      </c>
      <c r="I340" t="s">
        <v>85</v>
      </c>
      <c r="J340" t="s">
        <v>74</v>
      </c>
      <c r="K340" t="s">
        <v>75</v>
      </c>
      <c r="L340" t="s">
        <v>1120</v>
      </c>
      <c r="M340" t="s">
        <v>50</v>
      </c>
      <c r="N340">
        <v>8</v>
      </c>
      <c r="O340">
        <v>4402.3599999999997</v>
      </c>
      <c r="P340">
        <v>0.25</v>
      </c>
      <c r="Q340">
        <v>26414.16</v>
      </c>
      <c r="R340">
        <v>21822.53</v>
      </c>
      <c r="S340">
        <v>4591.63</v>
      </c>
      <c r="T340" t="s">
        <v>32</v>
      </c>
      <c r="U340" t="s">
        <v>33</v>
      </c>
      <c r="V340">
        <f>IF(OR(B340="Invalid Date",C340="Invalid Date"),"Invalid Date",C340-B340)</f>
        <v>-118</v>
      </c>
      <c r="W340" s="4" t="str">
        <f>IF(OR(B340="Invalid Date",C340="Invalid Date"),"Invalid Date",IF(C340&lt;B340,"Invalid Shipping","OK"))</f>
        <v>Invalid Shipping</v>
      </c>
      <c r="X340">
        <f t="shared" si="40"/>
        <v>1</v>
      </c>
      <c r="Y340">
        <f t="shared" si="41"/>
        <v>0.25</v>
      </c>
      <c r="Z340">
        <f t="shared" si="42"/>
        <v>26414.159999999996</v>
      </c>
      <c r="AA340">
        <f t="shared" si="43"/>
        <v>4591.6299999999974</v>
      </c>
      <c r="AB340" s="6">
        <f t="shared" si="44"/>
        <v>0.17383214154832097</v>
      </c>
      <c r="AC340" t="str">
        <f t="shared" si="45"/>
        <v>December</v>
      </c>
      <c r="AD340">
        <f t="shared" si="46"/>
        <v>2024</v>
      </c>
      <c r="AE340" t="str">
        <f t="shared" si="47"/>
        <v>Invalid</v>
      </c>
    </row>
    <row r="341" spans="1:31">
      <c r="A341" t="s">
        <v>1121</v>
      </c>
      <c r="B341" s="3">
        <v>45708</v>
      </c>
      <c r="C341" s="3">
        <v>45710</v>
      </c>
      <c r="D341" t="s">
        <v>1122</v>
      </c>
      <c r="E341" t="s">
        <v>79</v>
      </c>
      <c r="F341" t="s">
        <v>90</v>
      </c>
      <c r="G341" t="s">
        <v>38</v>
      </c>
      <c r="H341" t="s">
        <v>228</v>
      </c>
      <c r="I341" t="s">
        <v>229</v>
      </c>
      <c r="J341" t="s">
        <v>41</v>
      </c>
      <c r="K341" t="s">
        <v>158</v>
      </c>
      <c r="L341" t="s">
        <v>1123</v>
      </c>
      <c r="M341" t="s">
        <v>59</v>
      </c>
      <c r="N341">
        <v>8</v>
      </c>
      <c r="O341">
        <v>3265.76</v>
      </c>
      <c r="P341">
        <v>0.2</v>
      </c>
      <c r="Q341">
        <v>20900.86</v>
      </c>
      <c r="R341">
        <v>12513.14</v>
      </c>
      <c r="S341">
        <v>8387.7199999999993</v>
      </c>
      <c r="T341" t="s">
        <v>32</v>
      </c>
      <c r="U341" t="s">
        <v>33</v>
      </c>
      <c r="V341">
        <f>IF(OR(B341="Invalid Date",C341="Invalid Date"),"Invalid Date",C341-B341)</f>
        <v>2</v>
      </c>
      <c r="W341" s="4" t="str">
        <f>IF(OR(B341="Invalid Date",C341="Invalid Date"),"Invalid Date",IF(C341&lt;B341,"Invalid Shipping","OK"))</f>
        <v>OK</v>
      </c>
      <c r="X341">
        <f t="shared" si="40"/>
        <v>1</v>
      </c>
      <c r="Y341">
        <f t="shared" si="41"/>
        <v>0.2</v>
      </c>
      <c r="Z341">
        <f t="shared" si="42"/>
        <v>20900.864000000001</v>
      </c>
      <c r="AA341">
        <f t="shared" si="43"/>
        <v>8387.724000000002</v>
      </c>
      <c r="AB341" s="6">
        <f t="shared" si="44"/>
        <v>0.40130991714026759</v>
      </c>
      <c r="AC341" t="str">
        <f t="shared" si="45"/>
        <v>February</v>
      </c>
      <c r="AD341">
        <f t="shared" si="46"/>
        <v>2025</v>
      </c>
      <c r="AE341" t="str">
        <f t="shared" si="47"/>
        <v>Clean</v>
      </c>
    </row>
    <row r="342" spans="1:31">
      <c r="A342" t="s">
        <v>1124</v>
      </c>
      <c r="B342" s="3">
        <v>45312</v>
      </c>
      <c r="C342" s="3" t="s">
        <v>2763</v>
      </c>
      <c r="D342" t="s">
        <v>1125</v>
      </c>
      <c r="E342" t="s">
        <v>79</v>
      </c>
      <c r="F342" t="s">
        <v>24</v>
      </c>
      <c r="G342" t="s">
        <v>54</v>
      </c>
      <c r="H342" t="s">
        <v>175</v>
      </c>
      <c r="I342" t="s">
        <v>176</v>
      </c>
      <c r="J342" t="s">
        <v>28</v>
      </c>
      <c r="K342" t="s">
        <v>153</v>
      </c>
      <c r="L342" t="s">
        <v>1126</v>
      </c>
      <c r="M342" t="s">
        <v>59</v>
      </c>
      <c r="N342">
        <v>5</v>
      </c>
      <c r="O342">
        <v>4058.08</v>
      </c>
      <c r="P342">
        <v>0.1</v>
      </c>
      <c r="Q342">
        <v>18261.36</v>
      </c>
      <c r="R342">
        <v>11399.94</v>
      </c>
      <c r="S342">
        <v>6861.42</v>
      </c>
      <c r="T342" t="s">
        <v>32</v>
      </c>
      <c r="U342" t="s">
        <v>33</v>
      </c>
      <c r="V342" t="str">
        <f>IF(OR(B342="Invalid Date",C342="Invalid Date"),"Invalid Date",C342-B342)</f>
        <v>Invalid Date</v>
      </c>
      <c r="W342" s="4" t="str">
        <f>IF(OR(B342="Invalid Date",C342="Invalid Date"),"Invalid Date",IF(C342&lt;B342,"Invalid Shipping","OK"))</f>
        <v>Invalid Date</v>
      </c>
      <c r="X342">
        <f t="shared" si="40"/>
        <v>1</v>
      </c>
      <c r="Y342">
        <f t="shared" si="41"/>
        <v>0.1</v>
      </c>
      <c r="Z342">
        <f t="shared" si="42"/>
        <v>18261.36</v>
      </c>
      <c r="AA342">
        <f t="shared" si="43"/>
        <v>6861.42</v>
      </c>
      <c r="AB342" s="6">
        <f t="shared" si="44"/>
        <v>0.3757343374206521</v>
      </c>
      <c r="AC342" t="str">
        <f t="shared" si="45"/>
        <v>January</v>
      </c>
      <c r="AD342">
        <f t="shared" si="46"/>
        <v>2024</v>
      </c>
      <c r="AE342" t="str">
        <f t="shared" si="47"/>
        <v>Invalid</v>
      </c>
    </row>
    <row r="343" spans="1:31">
      <c r="A343" t="s">
        <v>1127</v>
      </c>
      <c r="B343" s="3">
        <v>45908</v>
      </c>
      <c r="C343" s="3">
        <v>45909</v>
      </c>
      <c r="D343" t="s">
        <v>1128</v>
      </c>
      <c r="E343" t="s">
        <v>141</v>
      </c>
      <c r="F343" t="s">
        <v>95</v>
      </c>
      <c r="G343" t="s">
        <v>63</v>
      </c>
      <c r="H343" t="s">
        <v>180</v>
      </c>
      <c r="I343" t="s">
        <v>181</v>
      </c>
      <c r="J343" t="s">
        <v>41</v>
      </c>
      <c r="K343" t="s">
        <v>66</v>
      </c>
      <c r="L343" t="s">
        <v>1129</v>
      </c>
      <c r="M343" t="s">
        <v>31</v>
      </c>
      <c r="N343">
        <v>2</v>
      </c>
      <c r="O343">
        <v>3960.33</v>
      </c>
      <c r="P343">
        <v>0.05</v>
      </c>
      <c r="Q343">
        <v>7524.63</v>
      </c>
      <c r="R343">
        <v>6229.6</v>
      </c>
      <c r="S343">
        <v>1295.03</v>
      </c>
      <c r="T343" t="s">
        <v>32</v>
      </c>
      <c r="U343" t="s">
        <v>33</v>
      </c>
      <c r="V343">
        <f>IF(OR(B343="Invalid Date",C343="Invalid Date"),"Invalid Date",C343-B343)</f>
        <v>1</v>
      </c>
      <c r="W343" s="4" t="str">
        <f>IF(OR(B343="Invalid Date",C343="Invalid Date"),"Invalid Date",IF(C343&lt;B343,"Invalid Shipping","OK"))</f>
        <v>OK</v>
      </c>
      <c r="X343">
        <f t="shared" si="40"/>
        <v>1</v>
      </c>
      <c r="Y343">
        <f t="shared" si="41"/>
        <v>0.05</v>
      </c>
      <c r="Z343">
        <f t="shared" si="42"/>
        <v>7524.6269999999995</v>
      </c>
      <c r="AA343">
        <f t="shared" si="43"/>
        <v>1295.0269999999991</v>
      </c>
      <c r="AB343" s="6">
        <f t="shared" si="44"/>
        <v>0.17210514222166751</v>
      </c>
      <c r="AC343" t="str">
        <f t="shared" si="45"/>
        <v>September</v>
      </c>
      <c r="AD343">
        <f t="shared" si="46"/>
        <v>2025</v>
      </c>
      <c r="AE343" t="str">
        <f t="shared" si="47"/>
        <v>Clean</v>
      </c>
    </row>
    <row r="344" spans="1:31">
      <c r="A344" t="s">
        <v>1130</v>
      </c>
      <c r="B344" s="3">
        <v>45862</v>
      </c>
      <c r="C344" s="3">
        <v>45870</v>
      </c>
      <c r="D344" t="s">
        <v>1131</v>
      </c>
      <c r="E344" t="s">
        <v>264</v>
      </c>
      <c r="F344" t="s">
        <v>37</v>
      </c>
      <c r="G344" t="s">
        <v>38</v>
      </c>
      <c r="H344" t="s">
        <v>228</v>
      </c>
      <c r="I344" t="s">
        <v>229</v>
      </c>
      <c r="J344" t="s">
        <v>28</v>
      </c>
      <c r="K344" t="s">
        <v>153</v>
      </c>
      <c r="L344" t="s">
        <v>1132</v>
      </c>
      <c r="M344" t="s">
        <v>50</v>
      </c>
      <c r="N344">
        <v>8</v>
      </c>
      <c r="O344">
        <v>1528.92</v>
      </c>
      <c r="P344">
        <v>0</v>
      </c>
      <c r="Q344">
        <v>12231.36</v>
      </c>
      <c r="R344">
        <v>8766.9</v>
      </c>
      <c r="S344">
        <v>3464.46</v>
      </c>
      <c r="T344" t="s">
        <v>32</v>
      </c>
      <c r="U344" t="s">
        <v>33</v>
      </c>
      <c r="V344">
        <f>IF(OR(B344="Invalid Date",C344="Invalid Date"),"Invalid Date",C344-B344)</f>
        <v>8</v>
      </c>
      <c r="W344" s="4" t="str">
        <f>IF(OR(B344="Invalid Date",C344="Invalid Date"),"Invalid Date",IF(C344&lt;B344,"Invalid Shipping","OK"))</f>
        <v>OK</v>
      </c>
      <c r="X344">
        <f t="shared" si="40"/>
        <v>1</v>
      </c>
      <c r="Y344">
        <f t="shared" si="41"/>
        <v>0</v>
      </c>
      <c r="Z344">
        <f t="shared" si="42"/>
        <v>12231.36</v>
      </c>
      <c r="AA344">
        <f t="shared" si="43"/>
        <v>3464.4600000000009</v>
      </c>
      <c r="AB344" s="6">
        <f t="shared" si="44"/>
        <v>0.28324405462679547</v>
      </c>
      <c r="AC344" t="str">
        <f t="shared" si="45"/>
        <v>July</v>
      </c>
      <c r="AD344">
        <f t="shared" si="46"/>
        <v>2025</v>
      </c>
      <c r="AE344" t="str">
        <f t="shared" si="47"/>
        <v>Clean</v>
      </c>
    </row>
    <row r="345" spans="1:31">
      <c r="A345" t="s">
        <v>1133</v>
      </c>
      <c r="B345" s="3">
        <v>45726</v>
      </c>
      <c r="C345" s="3">
        <v>45938</v>
      </c>
      <c r="D345" t="s">
        <v>1134</v>
      </c>
      <c r="E345" t="s">
        <v>128</v>
      </c>
      <c r="F345" t="s">
        <v>90</v>
      </c>
      <c r="G345" t="s">
        <v>63</v>
      </c>
      <c r="H345" t="s">
        <v>72</v>
      </c>
      <c r="I345" t="s">
        <v>73</v>
      </c>
      <c r="J345" t="s">
        <v>74</v>
      </c>
      <c r="K345" t="s">
        <v>274</v>
      </c>
      <c r="L345" t="s">
        <v>1135</v>
      </c>
      <c r="M345" t="s">
        <v>44</v>
      </c>
      <c r="N345">
        <v>9</v>
      </c>
      <c r="O345">
        <v>3837</v>
      </c>
      <c r="P345">
        <v>0.1</v>
      </c>
      <c r="Q345">
        <v>31079.7</v>
      </c>
      <c r="R345">
        <v>17758.25</v>
      </c>
      <c r="S345">
        <v>13321.45</v>
      </c>
      <c r="T345" t="s">
        <v>32</v>
      </c>
      <c r="U345" t="s">
        <v>33</v>
      </c>
      <c r="V345">
        <f>IF(OR(B345="Invalid Date",C345="Invalid Date"),"Invalid Date",C345-B345)</f>
        <v>212</v>
      </c>
      <c r="W345" s="4" t="str">
        <f>IF(OR(B345="Invalid Date",C345="Invalid Date"),"Invalid Date",IF(C345&lt;B345,"Invalid Shipping","OK"))</f>
        <v>OK</v>
      </c>
      <c r="X345">
        <f t="shared" si="40"/>
        <v>1</v>
      </c>
      <c r="Y345">
        <f t="shared" si="41"/>
        <v>0.1</v>
      </c>
      <c r="Z345">
        <f t="shared" si="42"/>
        <v>31079.7</v>
      </c>
      <c r="AA345">
        <f t="shared" si="43"/>
        <v>13321.45</v>
      </c>
      <c r="AB345" s="6">
        <f t="shared" si="44"/>
        <v>0.4286222196481948</v>
      </c>
      <c r="AC345" t="str">
        <f t="shared" si="45"/>
        <v>March</v>
      </c>
      <c r="AD345">
        <f t="shared" si="46"/>
        <v>2025</v>
      </c>
      <c r="AE345" t="str">
        <f t="shared" si="47"/>
        <v>Clean</v>
      </c>
    </row>
    <row r="346" spans="1:31">
      <c r="A346" t="s">
        <v>1136</v>
      </c>
      <c r="B346" s="3">
        <v>45362</v>
      </c>
      <c r="C346" s="3">
        <v>45362</v>
      </c>
      <c r="D346" t="s">
        <v>1137</v>
      </c>
      <c r="E346" t="s">
        <v>114</v>
      </c>
      <c r="F346" t="s">
        <v>24</v>
      </c>
      <c r="G346" t="s">
        <v>25</v>
      </c>
      <c r="H346" t="s">
        <v>122</v>
      </c>
      <c r="I346" t="s">
        <v>123</v>
      </c>
      <c r="J346" t="s">
        <v>41</v>
      </c>
      <c r="K346" t="s">
        <v>158</v>
      </c>
      <c r="L346" t="s">
        <v>1138</v>
      </c>
      <c r="M346" t="s">
        <v>44</v>
      </c>
      <c r="N346">
        <v>9</v>
      </c>
      <c r="O346">
        <v>3456.38</v>
      </c>
      <c r="P346">
        <v>0</v>
      </c>
      <c r="Q346">
        <v>31107.42</v>
      </c>
      <c r="R346">
        <v>20146.66</v>
      </c>
      <c r="S346">
        <v>10960.76</v>
      </c>
      <c r="T346" t="s">
        <v>111</v>
      </c>
      <c r="U346" t="s">
        <v>103</v>
      </c>
      <c r="V346">
        <f>IF(OR(B346="Invalid Date",C346="Invalid Date"),"Invalid Date",C346-B346)</f>
        <v>0</v>
      </c>
      <c r="W346" s="4" t="str">
        <f>IF(OR(B346="Invalid Date",C346="Invalid Date"),"Invalid Date",IF(C346&lt;B346,"Invalid Shipping","OK"))</f>
        <v>OK</v>
      </c>
      <c r="X346">
        <f t="shared" si="40"/>
        <v>1</v>
      </c>
      <c r="Y346">
        <f t="shared" si="41"/>
        <v>0</v>
      </c>
      <c r="Z346">
        <f t="shared" si="42"/>
        <v>31107.420000000002</v>
      </c>
      <c r="AA346">
        <f t="shared" si="43"/>
        <v>10960.760000000002</v>
      </c>
      <c r="AB346" s="6">
        <f t="shared" si="44"/>
        <v>0.3523519468988428</v>
      </c>
      <c r="AC346" t="str">
        <f t="shared" si="45"/>
        <v>March</v>
      </c>
      <c r="AD346">
        <f t="shared" si="46"/>
        <v>2024</v>
      </c>
      <c r="AE346" t="str">
        <f t="shared" si="47"/>
        <v>Clean</v>
      </c>
    </row>
    <row r="347" spans="1:31">
      <c r="A347" t="s">
        <v>1139</v>
      </c>
      <c r="B347" s="3">
        <v>45549</v>
      </c>
      <c r="C347" s="3">
        <v>45557</v>
      </c>
      <c r="D347" t="s">
        <v>1140</v>
      </c>
      <c r="E347" t="s">
        <v>23</v>
      </c>
      <c r="F347" t="s">
        <v>24</v>
      </c>
      <c r="G347" t="s">
        <v>63</v>
      </c>
      <c r="H347" t="s">
        <v>72</v>
      </c>
      <c r="I347" t="s">
        <v>73</v>
      </c>
      <c r="J347" t="s">
        <v>41</v>
      </c>
      <c r="K347" t="s">
        <v>57</v>
      </c>
      <c r="L347" t="s">
        <v>1141</v>
      </c>
      <c r="M347" t="s">
        <v>31</v>
      </c>
      <c r="N347">
        <v>2</v>
      </c>
      <c r="O347">
        <v>2765.3</v>
      </c>
      <c r="P347">
        <v>0</v>
      </c>
      <c r="Q347">
        <v>5530.6</v>
      </c>
      <c r="R347">
        <v>4453.1099999999997</v>
      </c>
      <c r="S347">
        <v>1077.49</v>
      </c>
      <c r="T347" t="s">
        <v>32</v>
      </c>
      <c r="U347" t="s">
        <v>33</v>
      </c>
      <c r="V347">
        <f>IF(OR(B347="Invalid Date",C347="Invalid Date"),"Invalid Date",C347-B347)</f>
        <v>8</v>
      </c>
      <c r="W347" s="4" t="str">
        <f>IF(OR(B347="Invalid Date",C347="Invalid Date"),"Invalid Date",IF(C347&lt;B347,"Invalid Shipping","OK"))</f>
        <v>OK</v>
      </c>
      <c r="X347">
        <f t="shared" si="40"/>
        <v>1</v>
      </c>
      <c r="Y347">
        <f t="shared" si="41"/>
        <v>0</v>
      </c>
      <c r="Z347">
        <f t="shared" si="42"/>
        <v>5530.6</v>
      </c>
      <c r="AA347">
        <f t="shared" si="43"/>
        <v>1077.4900000000007</v>
      </c>
      <c r="AB347" s="6">
        <f t="shared" si="44"/>
        <v>0.19482334647235391</v>
      </c>
      <c r="AC347" t="str">
        <f t="shared" si="45"/>
        <v>September</v>
      </c>
      <c r="AD347">
        <f t="shared" si="46"/>
        <v>2024</v>
      </c>
      <c r="AE347" t="str">
        <f t="shared" si="47"/>
        <v>Clean</v>
      </c>
    </row>
    <row r="348" spans="1:31">
      <c r="A348" t="s">
        <v>1142</v>
      </c>
      <c r="B348" s="3">
        <v>45860</v>
      </c>
      <c r="C348" s="3">
        <v>45866</v>
      </c>
      <c r="D348" t="s">
        <v>1143</v>
      </c>
      <c r="E348" t="s">
        <v>118</v>
      </c>
      <c r="F348" t="s">
        <v>90</v>
      </c>
      <c r="G348" t="s">
        <v>54</v>
      </c>
      <c r="H348" t="s">
        <v>185</v>
      </c>
      <c r="I348" t="s">
        <v>186</v>
      </c>
      <c r="J348" t="s">
        <v>41</v>
      </c>
      <c r="K348" t="s">
        <v>66</v>
      </c>
      <c r="L348" t="s">
        <v>1144</v>
      </c>
      <c r="M348" t="s">
        <v>31</v>
      </c>
      <c r="N348">
        <v>6</v>
      </c>
      <c r="O348">
        <v>1607.46</v>
      </c>
      <c r="P348">
        <v>0.2</v>
      </c>
      <c r="Q348">
        <v>7715.81</v>
      </c>
      <c r="R348">
        <v>4258.42</v>
      </c>
      <c r="S348">
        <v>3457.39</v>
      </c>
      <c r="T348" t="s">
        <v>32</v>
      </c>
      <c r="U348" t="s">
        <v>33</v>
      </c>
      <c r="V348">
        <f>IF(OR(B348="Invalid Date",C348="Invalid Date"),"Invalid Date",C348-B348)</f>
        <v>6</v>
      </c>
      <c r="W348" s="4" t="str">
        <f>IF(OR(B348="Invalid Date",C348="Invalid Date"),"Invalid Date",IF(C348&lt;B348,"Invalid Shipping","OK"))</f>
        <v>OK</v>
      </c>
      <c r="X348">
        <f t="shared" si="40"/>
        <v>1</v>
      </c>
      <c r="Y348">
        <f t="shared" si="41"/>
        <v>0.2</v>
      </c>
      <c r="Z348">
        <f t="shared" si="42"/>
        <v>7715.8080000000009</v>
      </c>
      <c r="AA348">
        <f t="shared" si="43"/>
        <v>3457.3880000000008</v>
      </c>
      <c r="AB348" s="6">
        <f t="shared" si="44"/>
        <v>0.4480915025360922</v>
      </c>
      <c r="AC348" t="str">
        <f t="shared" si="45"/>
        <v>July</v>
      </c>
      <c r="AD348">
        <f t="shared" si="46"/>
        <v>2025</v>
      </c>
      <c r="AE348" t="str">
        <f t="shared" si="47"/>
        <v>Clean</v>
      </c>
    </row>
    <row r="349" spans="1:31">
      <c r="A349" t="s">
        <v>1145</v>
      </c>
      <c r="B349" s="3">
        <v>45627</v>
      </c>
      <c r="C349" s="3">
        <v>45516</v>
      </c>
      <c r="D349" t="s">
        <v>1146</v>
      </c>
      <c r="E349" t="s">
        <v>128</v>
      </c>
      <c r="F349" t="s">
        <v>37</v>
      </c>
      <c r="G349" t="s">
        <v>63</v>
      </c>
      <c r="H349" t="s">
        <v>190</v>
      </c>
      <c r="I349" t="s">
        <v>191</v>
      </c>
      <c r="J349" t="s">
        <v>41</v>
      </c>
      <c r="K349" t="s">
        <v>66</v>
      </c>
      <c r="L349" t="s">
        <v>1147</v>
      </c>
      <c r="M349" t="s">
        <v>31</v>
      </c>
      <c r="N349">
        <v>5</v>
      </c>
      <c r="O349">
        <v>2981.49</v>
      </c>
      <c r="P349">
        <v>0.2</v>
      </c>
      <c r="Q349">
        <v>11925.96</v>
      </c>
      <c r="R349">
        <v>10103.51</v>
      </c>
      <c r="S349">
        <v>1822.45</v>
      </c>
      <c r="T349" t="s">
        <v>102</v>
      </c>
      <c r="U349" t="s">
        <v>103</v>
      </c>
      <c r="V349">
        <f>IF(OR(B349="Invalid Date",C349="Invalid Date"),"Invalid Date",C349-B349)</f>
        <v>-111</v>
      </c>
      <c r="W349" s="4" t="str">
        <f>IF(OR(B349="Invalid Date",C349="Invalid Date"),"Invalid Date",IF(C349&lt;B349,"Invalid Shipping","OK"))</f>
        <v>Invalid Shipping</v>
      </c>
      <c r="X349">
        <f t="shared" si="40"/>
        <v>1</v>
      </c>
      <c r="Y349">
        <f t="shared" si="41"/>
        <v>0.2</v>
      </c>
      <c r="Z349">
        <f t="shared" si="42"/>
        <v>11925.96</v>
      </c>
      <c r="AA349">
        <f t="shared" si="43"/>
        <v>1822.4499999999989</v>
      </c>
      <c r="AB349" s="6">
        <f t="shared" si="44"/>
        <v>0.15281369382422874</v>
      </c>
      <c r="AC349" t="str">
        <f t="shared" si="45"/>
        <v>December</v>
      </c>
      <c r="AD349">
        <f t="shared" si="46"/>
        <v>2024</v>
      </c>
      <c r="AE349" t="str">
        <f t="shared" si="47"/>
        <v>Invalid</v>
      </c>
    </row>
    <row r="350" spans="1:31">
      <c r="A350" t="s">
        <v>1148</v>
      </c>
      <c r="B350" s="3">
        <v>45328</v>
      </c>
      <c r="C350" s="3">
        <v>45479</v>
      </c>
      <c r="D350" t="s">
        <v>1149</v>
      </c>
      <c r="E350" t="s">
        <v>128</v>
      </c>
      <c r="F350" t="s">
        <v>90</v>
      </c>
      <c r="G350" t="s">
        <v>54</v>
      </c>
      <c r="H350" t="s">
        <v>175</v>
      </c>
      <c r="I350" t="s">
        <v>176</v>
      </c>
      <c r="J350" t="s">
        <v>74</v>
      </c>
      <c r="K350" t="s">
        <v>171</v>
      </c>
      <c r="L350" t="s">
        <v>1150</v>
      </c>
      <c r="M350" t="s">
        <v>44</v>
      </c>
      <c r="N350">
        <v>9</v>
      </c>
      <c r="O350">
        <v>2860.26</v>
      </c>
      <c r="P350">
        <v>0.25</v>
      </c>
      <c r="Q350">
        <v>19306.759999999998</v>
      </c>
      <c r="R350">
        <v>14442.38</v>
      </c>
      <c r="S350">
        <v>4864.38</v>
      </c>
      <c r="T350" t="s">
        <v>32</v>
      </c>
      <c r="U350" t="s">
        <v>33</v>
      </c>
      <c r="V350">
        <f>IF(OR(B350="Invalid Date",C350="Invalid Date"),"Invalid Date",C350-B350)</f>
        <v>151</v>
      </c>
      <c r="W350" s="4" t="str">
        <f>IF(OR(B350="Invalid Date",C350="Invalid Date"),"Invalid Date",IF(C350&lt;B350,"Invalid Shipping","OK"))</f>
        <v>OK</v>
      </c>
      <c r="X350">
        <f t="shared" si="40"/>
        <v>1</v>
      </c>
      <c r="Y350">
        <f t="shared" si="41"/>
        <v>0.25</v>
      </c>
      <c r="Z350">
        <f t="shared" si="42"/>
        <v>19306.755000000005</v>
      </c>
      <c r="AA350">
        <f t="shared" si="43"/>
        <v>4864.3750000000055</v>
      </c>
      <c r="AB350" s="6">
        <f t="shared" si="44"/>
        <v>0.25195197225012717</v>
      </c>
      <c r="AC350" t="str">
        <f t="shared" si="45"/>
        <v>February</v>
      </c>
      <c r="AD350">
        <f t="shared" si="46"/>
        <v>2024</v>
      </c>
      <c r="AE350" t="str">
        <f t="shared" si="47"/>
        <v>Clean</v>
      </c>
    </row>
    <row r="351" spans="1:31">
      <c r="A351" t="s">
        <v>1151</v>
      </c>
      <c r="B351" s="3">
        <v>45927</v>
      </c>
      <c r="C351" s="3" t="s">
        <v>2763</v>
      </c>
      <c r="D351" t="s">
        <v>1152</v>
      </c>
      <c r="E351" t="s">
        <v>264</v>
      </c>
      <c r="F351" t="s">
        <v>95</v>
      </c>
      <c r="G351" t="s">
        <v>38</v>
      </c>
      <c r="H351" t="s">
        <v>228</v>
      </c>
      <c r="I351" t="s">
        <v>229</v>
      </c>
      <c r="J351" t="s">
        <v>41</v>
      </c>
      <c r="K351" t="s">
        <v>57</v>
      </c>
      <c r="L351" t="s">
        <v>1153</v>
      </c>
      <c r="M351" t="s">
        <v>31</v>
      </c>
      <c r="N351">
        <v>9</v>
      </c>
      <c r="O351">
        <v>2867.55</v>
      </c>
      <c r="P351">
        <v>0.25</v>
      </c>
      <c r="Q351">
        <v>19355.96</v>
      </c>
      <c r="R351">
        <v>15012.45</v>
      </c>
      <c r="S351">
        <v>4017.4</v>
      </c>
      <c r="T351" t="s">
        <v>32</v>
      </c>
      <c r="U351" t="s">
        <v>33</v>
      </c>
      <c r="V351" t="str">
        <f>IF(OR(B351="Invalid Date",C351="Invalid Date"),"Invalid Date",C351-B351)</f>
        <v>Invalid Date</v>
      </c>
      <c r="W351" s="4" t="str">
        <f>IF(OR(B351="Invalid Date",C351="Invalid Date"),"Invalid Date",IF(C351&lt;B351,"Invalid Shipping","OK"))</f>
        <v>Invalid Date</v>
      </c>
      <c r="X351">
        <f t="shared" si="40"/>
        <v>1</v>
      </c>
      <c r="Y351">
        <f t="shared" si="41"/>
        <v>0.25</v>
      </c>
      <c r="Z351">
        <f t="shared" si="42"/>
        <v>19355.962500000001</v>
      </c>
      <c r="AA351">
        <f t="shared" si="43"/>
        <v>4343.5125000000007</v>
      </c>
      <c r="AB351" s="6">
        <f t="shared" si="44"/>
        <v>0.22440178317146461</v>
      </c>
      <c r="AC351" t="str">
        <f t="shared" si="45"/>
        <v>September</v>
      </c>
      <c r="AD351">
        <f t="shared" si="46"/>
        <v>2025</v>
      </c>
      <c r="AE351" t="str">
        <f t="shared" si="47"/>
        <v>Invalid</v>
      </c>
    </row>
    <row r="352" spans="1:31">
      <c r="A352" t="s">
        <v>1154</v>
      </c>
      <c r="B352" s="3">
        <v>45298</v>
      </c>
      <c r="C352" s="3">
        <v>45305</v>
      </c>
      <c r="D352" t="s">
        <v>1155</v>
      </c>
      <c r="E352" t="s">
        <v>132</v>
      </c>
      <c r="F352" t="s">
        <v>37</v>
      </c>
      <c r="G352" t="s">
        <v>38</v>
      </c>
      <c r="H352" t="s">
        <v>228</v>
      </c>
      <c r="I352" t="s">
        <v>229</v>
      </c>
      <c r="J352" t="s">
        <v>41</v>
      </c>
      <c r="K352" t="s">
        <v>57</v>
      </c>
      <c r="L352" t="s">
        <v>1156</v>
      </c>
      <c r="M352" t="s">
        <v>31</v>
      </c>
      <c r="N352">
        <v>4</v>
      </c>
      <c r="O352">
        <v>3309.54</v>
      </c>
      <c r="P352">
        <v>0.1</v>
      </c>
      <c r="Q352">
        <v>11914.34</v>
      </c>
      <c r="R352">
        <v>9771.24</v>
      </c>
      <c r="S352">
        <v>2143.1</v>
      </c>
      <c r="T352" t="s">
        <v>102</v>
      </c>
      <c r="U352" t="s">
        <v>103</v>
      </c>
      <c r="V352">
        <f>IF(OR(B352="Invalid Date",C352="Invalid Date"),"Invalid Date",C352-B352)</f>
        <v>7</v>
      </c>
      <c r="W352" s="4" t="str">
        <f>IF(OR(B352="Invalid Date",C352="Invalid Date"),"Invalid Date",IF(C352&lt;B352,"Invalid Shipping","OK"))</f>
        <v>OK</v>
      </c>
      <c r="X352">
        <f t="shared" si="40"/>
        <v>1</v>
      </c>
      <c r="Y352">
        <f t="shared" si="41"/>
        <v>0.1</v>
      </c>
      <c r="Z352">
        <f t="shared" si="42"/>
        <v>11914.344000000001</v>
      </c>
      <c r="AA352">
        <f t="shared" si="43"/>
        <v>2143.1040000000012</v>
      </c>
      <c r="AB352" s="6">
        <f t="shared" si="44"/>
        <v>0.17987595456367561</v>
      </c>
      <c r="AC352" t="str">
        <f t="shared" si="45"/>
        <v>January</v>
      </c>
      <c r="AD352">
        <f t="shared" si="46"/>
        <v>2024</v>
      </c>
      <c r="AE352" t="str">
        <f t="shared" si="47"/>
        <v>Clean</v>
      </c>
    </row>
    <row r="353" spans="1:31">
      <c r="A353" t="s">
        <v>1157</v>
      </c>
      <c r="B353" s="3">
        <v>45800</v>
      </c>
      <c r="C353" s="3">
        <v>45804</v>
      </c>
      <c r="D353" t="s">
        <v>1158</v>
      </c>
      <c r="E353" t="s">
        <v>71</v>
      </c>
      <c r="F353" t="s">
        <v>37</v>
      </c>
      <c r="G353" t="s">
        <v>54</v>
      </c>
      <c r="H353" t="s">
        <v>55</v>
      </c>
      <c r="I353" t="s">
        <v>56</v>
      </c>
      <c r="J353" t="s">
        <v>28</v>
      </c>
      <c r="K353" t="s">
        <v>124</v>
      </c>
      <c r="L353" t="s">
        <v>1159</v>
      </c>
      <c r="M353" t="s">
        <v>50</v>
      </c>
      <c r="N353">
        <v>6</v>
      </c>
      <c r="O353">
        <v>719.44</v>
      </c>
      <c r="P353">
        <v>0.25</v>
      </c>
      <c r="Q353">
        <v>3237.48</v>
      </c>
      <c r="R353">
        <v>2118.34</v>
      </c>
      <c r="S353">
        <v>1119.1400000000001</v>
      </c>
      <c r="T353" t="s">
        <v>111</v>
      </c>
      <c r="U353" t="s">
        <v>68</v>
      </c>
      <c r="V353">
        <f>IF(OR(B353="Invalid Date",C353="Invalid Date"),"Invalid Date",C353-B353)</f>
        <v>4</v>
      </c>
      <c r="W353" s="4" t="str">
        <f>IF(OR(B353="Invalid Date",C353="Invalid Date"),"Invalid Date",IF(C353&lt;B353,"Invalid Shipping","OK"))</f>
        <v>OK</v>
      </c>
      <c r="X353">
        <f t="shared" si="40"/>
        <v>1</v>
      </c>
      <c r="Y353">
        <f t="shared" si="41"/>
        <v>0.25</v>
      </c>
      <c r="Z353">
        <f t="shared" si="42"/>
        <v>3237.4800000000005</v>
      </c>
      <c r="AA353">
        <f t="shared" si="43"/>
        <v>1119.1400000000003</v>
      </c>
      <c r="AB353" s="6">
        <f t="shared" si="44"/>
        <v>0.34568244437031276</v>
      </c>
      <c r="AC353" t="str">
        <f t="shared" si="45"/>
        <v>May</v>
      </c>
      <c r="AD353">
        <f t="shared" si="46"/>
        <v>2025</v>
      </c>
      <c r="AE353" t="str">
        <f t="shared" si="47"/>
        <v>Clean</v>
      </c>
    </row>
    <row r="354" spans="1:31">
      <c r="A354" t="s">
        <v>1160</v>
      </c>
      <c r="B354" s="3">
        <v>45884</v>
      </c>
      <c r="C354" s="3" t="s">
        <v>2763</v>
      </c>
      <c r="D354" t="s">
        <v>1161</v>
      </c>
      <c r="E354" t="s">
        <v>162</v>
      </c>
      <c r="F354" t="s">
        <v>37</v>
      </c>
      <c r="G354" t="s">
        <v>38</v>
      </c>
      <c r="H354" t="s">
        <v>166</v>
      </c>
      <c r="I354" t="s">
        <v>167</v>
      </c>
      <c r="J354" t="s">
        <v>74</v>
      </c>
      <c r="K354" t="s">
        <v>80</v>
      </c>
      <c r="L354" t="s">
        <v>1162</v>
      </c>
      <c r="M354" t="s">
        <v>50</v>
      </c>
      <c r="N354">
        <v>5</v>
      </c>
      <c r="O354">
        <v>2862.6</v>
      </c>
      <c r="P354">
        <v>0.25</v>
      </c>
      <c r="Q354">
        <v>10734.75</v>
      </c>
      <c r="R354">
        <v>6475.73</v>
      </c>
      <c r="S354">
        <v>4259.0200000000004</v>
      </c>
      <c r="T354" t="s">
        <v>32</v>
      </c>
      <c r="U354" t="s">
        <v>33</v>
      </c>
      <c r="V354" t="str">
        <f>IF(OR(B354="Invalid Date",C354="Invalid Date"),"Invalid Date",C354-B354)</f>
        <v>Invalid Date</v>
      </c>
      <c r="W354" s="4" t="str">
        <f>IF(OR(B354="Invalid Date",C354="Invalid Date"),"Invalid Date",IF(C354&lt;B354,"Invalid Shipping","OK"))</f>
        <v>Invalid Date</v>
      </c>
      <c r="X354">
        <f t="shared" si="40"/>
        <v>1</v>
      </c>
      <c r="Y354">
        <f t="shared" si="41"/>
        <v>0.25</v>
      </c>
      <c r="Z354">
        <f t="shared" si="42"/>
        <v>10734.75</v>
      </c>
      <c r="AA354">
        <f t="shared" si="43"/>
        <v>4259.0200000000004</v>
      </c>
      <c r="AB354" s="6">
        <f t="shared" si="44"/>
        <v>0.39675073942103917</v>
      </c>
      <c r="AC354" t="str">
        <f t="shared" si="45"/>
        <v>August</v>
      </c>
      <c r="AD354">
        <f t="shared" si="46"/>
        <v>2025</v>
      </c>
      <c r="AE354" t="str">
        <f t="shared" si="47"/>
        <v>Invalid</v>
      </c>
    </row>
    <row r="355" spans="1:31">
      <c r="A355" t="s">
        <v>1163</v>
      </c>
      <c r="B355" s="3">
        <v>45709</v>
      </c>
      <c r="C355" s="3">
        <v>45715</v>
      </c>
      <c r="D355" t="s">
        <v>1164</v>
      </c>
      <c r="E355" t="s">
        <v>62</v>
      </c>
      <c r="F355" t="s">
        <v>24</v>
      </c>
      <c r="G355" t="s">
        <v>25</v>
      </c>
      <c r="H355" t="s">
        <v>26</v>
      </c>
      <c r="I355" t="s">
        <v>27</v>
      </c>
      <c r="J355" t="s">
        <v>28</v>
      </c>
      <c r="K355" t="s">
        <v>48</v>
      </c>
      <c r="L355" t="s">
        <v>1165</v>
      </c>
      <c r="M355" t="s">
        <v>44</v>
      </c>
      <c r="N355">
        <v>9</v>
      </c>
      <c r="O355">
        <v>1431.67</v>
      </c>
      <c r="P355">
        <v>0.2</v>
      </c>
      <c r="Q355">
        <v>10308.02</v>
      </c>
      <c r="R355">
        <v>5822.31</v>
      </c>
      <c r="S355">
        <v>4485.71</v>
      </c>
      <c r="T355" t="s">
        <v>32</v>
      </c>
      <c r="U355" t="s">
        <v>33</v>
      </c>
      <c r="V355">
        <f>IF(OR(B355="Invalid Date",C355="Invalid Date"),"Invalid Date",C355-B355)</f>
        <v>6</v>
      </c>
      <c r="W355" s="4" t="str">
        <f>IF(OR(B355="Invalid Date",C355="Invalid Date"),"Invalid Date",IF(C355&lt;B355,"Invalid Shipping","OK"))</f>
        <v>OK</v>
      </c>
      <c r="X355">
        <f t="shared" si="40"/>
        <v>1</v>
      </c>
      <c r="Y355">
        <f t="shared" si="41"/>
        <v>0.2</v>
      </c>
      <c r="Z355">
        <f t="shared" si="42"/>
        <v>10308.024000000001</v>
      </c>
      <c r="AA355">
        <f t="shared" si="43"/>
        <v>4485.7140000000009</v>
      </c>
      <c r="AB355" s="6">
        <f t="shared" si="44"/>
        <v>0.4351672056642476</v>
      </c>
      <c r="AC355" t="str">
        <f t="shared" si="45"/>
        <v>February</v>
      </c>
      <c r="AD355">
        <f t="shared" si="46"/>
        <v>2025</v>
      </c>
      <c r="AE355" t="str">
        <f t="shared" si="47"/>
        <v>Clean</v>
      </c>
    </row>
    <row r="356" spans="1:31">
      <c r="A356" t="s">
        <v>1166</v>
      </c>
      <c r="B356" s="3">
        <v>45653</v>
      </c>
      <c r="C356" s="3">
        <v>45657</v>
      </c>
      <c r="D356" t="s">
        <v>1167</v>
      </c>
      <c r="E356" t="s">
        <v>264</v>
      </c>
      <c r="F356" t="s">
        <v>90</v>
      </c>
      <c r="G356" t="s">
        <v>25</v>
      </c>
      <c r="H356" t="s">
        <v>122</v>
      </c>
      <c r="I356" t="s">
        <v>123</v>
      </c>
      <c r="J356" t="s">
        <v>41</v>
      </c>
      <c r="K356" t="s">
        <v>57</v>
      </c>
      <c r="L356" t="s">
        <v>1168</v>
      </c>
      <c r="M356" t="s">
        <v>59</v>
      </c>
      <c r="N356">
        <v>6</v>
      </c>
      <c r="O356">
        <v>3346.78</v>
      </c>
      <c r="P356">
        <v>-0.06</v>
      </c>
      <c r="Q356">
        <v>20080.68</v>
      </c>
      <c r="R356">
        <v>12908.84</v>
      </c>
      <c r="S356">
        <v>7171.84</v>
      </c>
      <c r="T356" t="s">
        <v>111</v>
      </c>
      <c r="U356" t="s">
        <v>68</v>
      </c>
      <c r="V356">
        <f>IF(OR(B356="Invalid Date",C356="Invalid Date"),"Invalid Date",C356-B356)</f>
        <v>4</v>
      </c>
      <c r="W356" s="4" t="str">
        <f>IF(OR(B356="Invalid Date",C356="Invalid Date"),"Invalid Date",IF(C356&lt;B356,"Invalid Shipping","OK"))</f>
        <v>OK</v>
      </c>
      <c r="X356">
        <f t="shared" si="40"/>
        <v>1</v>
      </c>
      <c r="Y356" t="str">
        <f t="shared" si="41"/>
        <v>Invalid</v>
      </c>
      <c r="Z356" t="str">
        <f t="shared" si="42"/>
        <v/>
      </c>
      <c r="AA356" t="str">
        <f t="shared" si="43"/>
        <v/>
      </c>
      <c r="AB356" s="6" t="str">
        <f t="shared" si="44"/>
        <v/>
      </c>
      <c r="AC356" t="str">
        <f t="shared" si="45"/>
        <v>December</v>
      </c>
      <c r="AD356">
        <f t="shared" si="46"/>
        <v>2024</v>
      </c>
      <c r="AE356" t="str">
        <f t="shared" si="47"/>
        <v>Invalid</v>
      </c>
    </row>
    <row r="357" spans="1:31">
      <c r="A357" t="s">
        <v>1169</v>
      </c>
      <c r="B357" s="3">
        <v>45424</v>
      </c>
      <c r="C357" s="3">
        <v>45421</v>
      </c>
      <c r="D357" t="s">
        <v>1170</v>
      </c>
      <c r="E357" t="s">
        <v>114</v>
      </c>
      <c r="F357" t="s">
        <v>90</v>
      </c>
      <c r="G357" t="s">
        <v>63</v>
      </c>
      <c r="H357" t="s">
        <v>26</v>
      </c>
      <c r="I357" t="s">
        <v>109</v>
      </c>
      <c r="J357" t="s">
        <v>41</v>
      </c>
      <c r="K357" t="s">
        <v>42</v>
      </c>
      <c r="L357" t="s">
        <v>1171</v>
      </c>
      <c r="M357" t="s">
        <v>59</v>
      </c>
      <c r="N357">
        <v>5</v>
      </c>
      <c r="O357">
        <v>3203.48</v>
      </c>
      <c r="P357">
        <v>0</v>
      </c>
      <c r="Q357">
        <v>16017.4</v>
      </c>
      <c r="R357">
        <v>9557.7999999999993</v>
      </c>
      <c r="S357">
        <v>6459.6</v>
      </c>
      <c r="T357" t="s">
        <v>111</v>
      </c>
      <c r="U357" t="s">
        <v>68</v>
      </c>
      <c r="V357">
        <f>IF(OR(B357="Invalid Date",C357="Invalid Date"),"Invalid Date",C357-B357)</f>
        <v>-3</v>
      </c>
      <c r="W357" s="4" t="str">
        <f>IF(OR(B357="Invalid Date",C357="Invalid Date"),"Invalid Date",IF(C357&lt;B357,"Invalid Shipping","OK"))</f>
        <v>Invalid Shipping</v>
      </c>
      <c r="X357">
        <f t="shared" si="40"/>
        <v>1</v>
      </c>
      <c r="Y357">
        <f t="shared" si="41"/>
        <v>0</v>
      </c>
      <c r="Z357">
        <f t="shared" si="42"/>
        <v>16017.4</v>
      </c>
      <c r="AA357">
        <f t="shared" si="43"/>
        <v>6459.6</v>
      </c>
      <c r="AB357" s="6">
        <f t="shared" si="44"/>
        <v>0.40328642601171227</v>
      </c>
      <c r="AC357" t="str">
        <f t="shared" si="45"/>
        <v>May</v>
      </c>
      <c r="AD357">
        <f t="shared" si="46"/>
        <v>2024</v>
      </c>
      <c r="AE357" t="str">
        <f t="shared" si="47"/>
        <v>Invalid</v>
      </c>
    </row>
    <row r="358" spans="1:31">
      <c r="A358" t="s">
        <v>1172</v>
      </c>
      <c r="B358" s="3">
        <v>45835</v>
      </c>
      <c r="C358" s="3">
        <v>45837</v>
      </c>
      <c r="D358" t="s">
        <v>1173</v>
      </c>
      <c r="E358" t="s">
        <v>141</v>
      </c>
      <c r="F358" t="s">
        <v>95</v>
      </c>
      <c r="G358" t="s">
        <v>54</v>
      </c>
      <c r="H358" t="s">
        <v>55</v>
      </c>
      <c r="I358" t="s">
        <v>56</v>
      </c>
      <c r="J358" t="s">
        <v>41</v>
      </c>
      <c r="K358" t="s">
        <v>66</v>
      </c>
      <c r="L358" t="s">
        <v>1174</v>
      </c>
      <c r="M358" t="s">
        <v>50</v>
      </c>
      <c r="N358">
        <v>5</v>
      </c>
      <c r="O358">
        <v>621.70000000000005</v>
      </c>
      <c r="P358">
        <v>0.2</v>
      </c>
      <c r="Q358">
        <v>2486.8000000000002</v>
      </c>
      <c r="R358">
        <v>2131.73</v>
      </c>
      <c r="S358">
        <v>355.07</v>
      </c>
      <c r="T358" t="s">
        <v>111</v>
      </c>
      <c r="U358" t="s">
        <v>103</v>
      </c>
      <c r="V358">
        <f>IF(OR(B358="Invalid Date",C358="Invalid Date"),"Invalid Date",C358-B358)</f>
        <v>2</v>
      </c>
      <c r="W358" s="4" t="str">
        <f>IF(OR(B358="Invalid Date",C358="Invalid Date"),"Invalid Date",IF(C358&lt;B358,"Invalid Shipping","OK"))</f>
        <v>OK</v>
      </c>
      <c r="X358">
        <f t="shared" si="40"/>
        <v>1</v>
      </c>
      <c r="Y358">
        <f t="shared" si="41"/>
        <v>0.2</v>
      </c>
      <c r="Z358">
        <f t="shared" si="42"/>
        <v>2486.8000000000002</v>
      </c>
      <c r="AA358">
        <f t="shared" si="43"/>
        <v>355.07000000000016</v>
      </c>
      <c r="AB358" s="6">
        <f t="shared" si="44"/>
        <v>0.1427818883705968</v>
      </c>
      <c r="AC358" t="str">
        <f t="shared" si="45"/>
        <v>June</v>
      </c>
      <c r="AD358">
        <f t="shared" si="46"/>
        <v>2025</v>
      </c>
      <c r="AE358" t="str">
        <f t="shared" si="47"/>
        <v>Clean</v>
      </c>
    </row>
    <row r="359" spans="1:31">
      <c r="A359" t="s">
        <v>1175</v>
      </c>
      <c r="B359" s="3">
        <v>45678</v>
      </c>
      <c r="C359" s="3" t="s">
        <v>2763</v>
      </c>
      <c r="D359" t="s">
        <v>1176</v>
      </c>
      <c r="E359" t="s">
        <v>36</v>
      </c>
      <c r="F359" t="s">
        <v>95</v>
      </c>
      <c r="G359" t="s">
        <v>54</v>
      </c>
      <c r="H359" t="s">
        <v>84</v>
      </c>
      <c r="I359" t="s">
        <v>85</v>
      </c>
      <c r="J359" t="s">
        <v>74</v>
      </c>
      <c r="K359" t="s">
        <v>274</v>
      </c>
      <c r="L359" t="s">
        <v>1177</v>
      </c>
      <c r="M359" t="s">
        <v>31</v>
      </c>
      <c r="N359">
        <v>8</v>
      </c>
      <c r="O359">
        <v>546.13</v>
      </c>
      <c r="P359">
        <v>0</v>
      </c>
      <c r="Q359">
        <v>4369.04</v>
      </c>
      <c r="R359">
        <v>3716.88</v>
      </c>
      <c r="S359">
        <v>652.16</v>
      </c>
      <c r="T359" t="s">
        <v>32</v>
      </c>
      <c r="U359" t="s">
        <v>68</v>
      </c>
      <c r="V359" t="str">
        <f>IF(OR(B359="Invalid Date",C359="Invalid Date"),"Invalid Date",C359-B359)</f>
        <v>Invalid Date</v>
      </c>
      <c r="W359" s="4" t="str">
        <f>IF(OR(B359="Invalid Date",C359="Invalid Date"),"Invalid Date",IF(C359&lt;B359,"Invalid Shipping","OK"))</f>
        <v>Invalid Date</v>
      </c>
      <c r="X359">
        <f t="shared" si="40"/>
        <v>1</v>
      </c>
      <c r="Y359">
        <f t="shared" si="41"/>
        <v>0</v>
      </c>
      <c r="Z359">
        <f t="shared" si="42"/>
        <v>4369.04</v>
      </c>
      <c r="AA359">
        <f t="shared" si="43"/>
        <v>652.15999999999985</v>
      </c>
      <c r="AB359" s="6">
        <f t="shared" si="44"/>
        <v>0.14926848918755603</v>
      </c>
      <c r="AC359" t="str">
        <f t="shared" si="45"/>
        <v>January</v>
      </c>
      <c r="AD359">
        <f t="shared" si="46"/>
        <v>2025</v>
      </c>
      <c r="AE359" t="str">
        <f t="shared" si="47"/>
        <v>Invalid</v>
      </c>
    </row>
    <row r="360" spans="1:31">
      <c r="A360" t="s">
        <v>1178</v>
      </c>
      <c r="B360" s="3">
        <v>45908</v>
      </c>
      <c r="C360" s="3">
        <v>45876</v>
      </c>
      <c r="D360" t="s">
        <v>1179</v>
      </c>
      <c r="E360" t="s">
        <v>71</v>
      </c>
      <c r="F360" t="s">
        <v>95</v>
      </c>
      <c r="G360" t="s">
        <v>63</v>
      </c>
      <c r="H360" t="s">
        <v>180</v>
      </c>
      <c r="I360" t="s">
        <v>181</v>
      </c>
      <c r="J360" t="s">
        <v>41</v>
      </c>
      <c r="K360" t="s">
        <v>158</v>
      </c>
      <c r="L360" t="s">
        <v>1180</v>
      </c>
      <c r="M360" t="s">
        <v>31</v>
      </c>
      <c r="N360">
        <v>5</v>
      </c>
      <c r="O360">
        <v>1253.92</v>
      </c>
      <c r="P360">
        <v>0.05</v>
      </c>
      <c r="Q360">
        <v>5956.12</v>
      </c>
      <c r="R360">
        <v>4379.18</v>
      </c>
      <c r="S360">
        <v>1576.94</v>
      </c>
      <c r="T360" t="s">
        <v>111</v>
      </c>
      <c r="U360" t="s">
        <v>103</v>
      </c>
      <c r="V360">
        <f>IF(OR(B360="Invalid Date",C360="Invalid Date"),"Invalid Date",C360-B360)</f>
        <v>-32</v>
      </c>
      <c r="W360" s="4" t="str">
        <f>IF(OR(B360="Invalid Date",C360="Invalid Date"),"Invalid Date",IF(C360&lt;B360,"Invalid Shipping","OK"))</f>
        <v>Invalid Shipping</v>
      </c>
      <c r="X360">
        <f t="shared" si="40"/>
        <v>1</v>
      </c>
      <c r="Y360">
        <f t="shared" si="41"/>
        <v>0.05</v>
      </c>
      <c r="Z360">
        <f t="shared" si="42"/>
        <v>5956.12</v>
      </c>
      <c r="AA360">
        <f t="shared" si="43"/>
        <v>1576.9399999999996</v>
      </c>
      <c r="AB360" s="6">
        <f t="shared" si="44"/>
        <v>0.26475960860425907</v>
      </c>
      <c r="AC360" t="str">
        <f t="shared" si="45"/>
        <v>September</v>
      </c>
      <c r="AD360">
        <f t="shared" si="46"/>
        <v>2025</v>
      </c>
      <c r="AE360" t="str">
        <f t="shared" si="47"/>
        <v>Invalid</v>
      </c>
    </row>
    <row r="361" spans="1:31">
      <c r="A361" t="s">
        <v>1181</v>
      </c>
      <c r="B361" s="3">
        <v>45525</v>
      </c>
      <c r="C361" s="3">
        <v>45526</v>
      </c>
      <c r="D361" t="s">
        <v>1182</v>
      </c>
      <c r="E361" t="s">
        <v>47</v>
      </c>
      <c r="F361" t="s">
        <v>24</v>
      </c>
      <c r="G361" t="s">
        <v>54</v>
      </c>
      <c r="H361" t="s">
        <v>247</v>
      </c>
      <c r="I361" t="s">
        <v>248</v>
      </c>
      <c r="J361" t="s">
        <v>74</v>
      </c>
      <c r="K361" t="s">
        <v>171</v>
      </c>
      <c r="L361" t="s">
        <v>1183</v>
      </c>
      <c r="M361" t="s">
        <v>44</v>
      </c>
      <c r="N361">
        <v>9</v>
      </c>
      <c r="O361">
        <v>616.96</v>
      </c>
      <c r="P361">
        <v>0.1</v>
      </c>
      <c r="Q361">
        <v>4997.38</v>
      </c>
      <c r="R361">
        <v>2971.39</v>
      </c>
      <c r="S361">
        <v>2025.99</v>
      </c>
      <c r="T361" t="s">
        <v>32</v>
      </c>
      <c r="U361" t="s">
        <v>33</v>
      </c>
      <c r="V361">
        <f>IF(OR(B361="Invalid Date",C361="Invalid Date"),"Invalid Date",C361-B361)</f>
        <v>1</v>
      </c>
      <c r="W361" s="4" t="str">
        <f>IF(OR(B361="Invalid Date",C361="Invalid Date"),"Invalid Date",IF(C361&lt;B361,"Invalid Shipping","OK"))</f>
        <v>OK</v>
      </c>
      <c r="X361">
        <f t="shared" si="40"/>
        <v>1</v>
      </c>
      <c r="Y361">
        <f t="shared" si="41"/>
        <v>0.1</v>
      </c>
      <c r="Z361">
        <f t="shared" si="42"/>
        <v>4997.3760000000002</v>
      </c>
      <c r="AA361">
        <f t="shared" si="43"/>
        <v>2025.9860000000003</v>
      </c>
      <c r="AB361" s="6">
        <f t="shared" si="44"/>
        <v>0.40540995914656014</v>
      </c>
      <c r="AC361" t="str">
        <f t="shared" si="45"/>
        <v>August</v>
      </c>
      <c r="AD361">
        <f t="shared" si="46"/>
        <v>2024</v>
      </c>
      <c r="AE361" t="str">
        <f t="shared" si="47"/>
        <v>Clean</v>
      </c>
    </row>
    <row r="362" spans="1:31">
      <c r="A362" t="s">
        <v>1184</v>
      </c>
      <c r="B362" s="3">
        <v>45460</v>
      </c>
      <c r="C362" s="3">
        <v>45463</v>
      </c>
      <c r="D362" t="s">
        <v>1185</v>
      </c>
      <c r="E362" t="s">
        <v>132</v>
      </c>
      <c r="F362" t="s">
        <v>37</v>
      </c>
      <c r="G362" t="s">
        <v>63</v>
      </c>
      <c r="H362" t="s">
        <v>180</v>
      </c>
      <c r="I362" t="s">
        <v>181</v>
      </c>
      <c r="J362" t="s">
        <v>41</v>
      </c>
      <c r="K362" t="s">
        <v>57</v>
      </c>
      <c r="L362" t="s">
        <v>1186</v>
      </c>
      <c r="M362" t="s">
        <v>59</v>
      </c>
      <c r="N362">
        <v>7</v>
      </c>
      <c r="O362">
        <v>3155.25</v>
      </c>
      <c r="P362">
        <v>0.2</v>
      </c>
      <c r="Q362">
        <v>17669.400000000001</v>
      </c>
      <c r="R362">
        <v>13718.77</v>
      </c>
      <c r="S362">
        <v>3950.63</v>
      </c>
      <c r="T362" t="s">
        <v>102</v>
      </c>
      <c r="U362" t="s">
        <v>68</v>
      </c>
      <c r="V362">
        <f>IF(OR(B362="Invalid Date",C362="Invalid Date"),"Invalid Date",C362-B362)</f>
        <v>3</v>
      </c>
      <c r="W362" s="4" t="str">
        <f>IF(OR(B362="Invalid Date",C362="Invalid Date"),"Invalid Date",IF(C362&lt;B362,"Invalid Shipping","OK"))</f>
        <v>OK</v>
      </c>
      <c r="X362">
        <f t="shared" si="40"/>
        <v>1</v>
      </c>
      <c r="Y362">
        <f t="shared" si="41"/>
        <v>0.2</v>
      </c>
      <c r="Z362">
        <f t="shared" si="42"/>
        <v>17669.400000000001</v>
      </c>
      <c r="AA362">
        <f t="shared" si="43"/>
        <v>3950.630000000001</v>
      </c>
      <c r="AB362" s="6">
        <f t="shared" si="44"/>
        <v>0.2235859734908939</v>
      </c>
      <c r="AC362" t="str">
        <f t="shared" si="45"/>
        <v>June</v>
      </c>
      <c r="AD362">
        <f t="shared" si="46"/>
        <v>2024</v>
      </c>
      <c r="AE362" t="str">
        <f t="shared" si="47"/>
        <v>Clean</v>
      </c>
    </row>
    <row r="363" spans="1:31">
      <c r="A363" t="s">
        <v>1187</v>
      </c>
      <c r="B363" s="3">
        <v>45748</v>
      </c>
      <c r="C363" s="3">
        <v>45749</v>
      </c>
      <c r="D363" t="s">
        <v>1188</v>
      </c>
      <c r="E363" t="s">
        <v>141</v>
      </c>
      <c r="F363" t="s">
        <v>90</v>
      </c>
      <c r="G363" t="s">
        <v>38</v>
      </c>
      <c r="H363" t="s">
        <v>39</v>
      </c>
      <c r="I363" t="s">
        <v>40</v>
      </c>
      <c r="J363" t="s">
        <v>41</v>
      </c>
      <c r="K363" t="s">
        <v>66</v>
      </c>
      <c r="L363" t="s">
        <v>1189</v>
      </c>
      <c r="M363" t="s">
        <v>31</v>
      </c>
      <c r="N363">
        <v>9</v>
      </c>
      <c r="O363">
        <v>4165.58</v>
      </c>
      <c r="P363">
        <v>0.05</v>
      </c>
      <c r="Q363">
        <v>35615.71</v>
      </c>
      <c r="R363">
        <v>20389.71</v>
      </c>
      <c r="S363">
        <v>15226</v>
      </c>
      <c r="T363" t="s">
        <v>111</v>
      </c>
      <c r="U363" t="s">
        <v>103</v>
      </c>
      <c r="V363">
        <f>IF(OR(B363="Invalid Date",C363="Invalid Date"),"Invalid Date",C363-B363)</f>
        <v>1</v>
      </c>
      <c r="W363" s="4" t="str">
        <f>IF(OR(B363="Invalid Date",C363="Invalid Date"),"Invalid Date",IF(C363&lt;B363,"Invalid Shipping","OK"))</f>
        <v>OK</v>
      </c>
      <c r="X363">
        <f t="shared" si="40"/>
        <v>1</v>
      </c>
      <c r="Y363">
        <f t="shared" si="41"/>
        <v>0.05</v>
      </c>
      <c r="Z363">
        <f t="shared" si="42"/>
        <v>35615.709000000003</v>
      </c>
      <c r="AA363">
        <f t="shared" si="43"/>
        <v>15225.999000000003</v>
      </c>
      <c r="AB363" s="6">
        <f t="shared" si="44"/>
        <v>0.42750795723314122</v>
      </c>
      <c r="AC363" t="str">
        <f t="shared" si="45"/>
        <v>April</v>
      </c>
      <c r="AD363">
        <f t="shared" si="46"/>
        <v>2025</v>
      </c>
      <c r="AE363" t="str">
        <f t="shared" si="47"/>
        <v>Clean</v>
      </c>
    </row>
    <row r="364" spans="1:31">
      <c r="A364" t="s">
        <v>1190</v>
      </c>
      <c r="B364" s="3">
        <v>45527</v>
      </c>
      <c r="C364" s="3">
        <v>45529</v>
      </c>
      <c r="D364" t="s">
        <v>1191</v>
      </c>
      <c r="E364" t="s">
        <v>71</v>
      </c>
      <c r="F364" t="s">
        <v>24</v>
      </c>
      <c r="G364" t="s">
        <v>63</v>
      </c>
      <c r="H364" t="s">
        <v>190</v>
      </c>
      <c r="I364" t="s">
        <v>191</v>
      </c>
      <c r="J364" t="s">
        <v>74</v>
      </c>
      <c r="K364" t="s">
        <v>274</v>
      </c>
      <c r="L364" t="s">
        <v>1192</v>
      </c>
      <c r="M364" t="s">
        <v>44</v>
      </c>
      <c r="N364">
        <v>4</v>
      </c>
      <c r="O364">
        <v>491.16</v>
      </c>
      <c r="P364">
        <v>0.05</v>
      </c>
      <c r="Q364">
        <v>1866.41</v>
      </c>
      <c r="R364">
        <v>1576.49</v>
      </c>
      <c r="S364">
        <v>289.92</v>
      </c>
      <c r="T364" t="s">
        <v>32</v>
      </c>
      <c r="U364" t="s">
        <v>33</v>
      </c>
      <c r="V364">
        <f>IF(OR(B364="Invalid Date",C364="Invalid Date"),"Invalid Date",C364-B364)</f>
        <v>2</v>
      </c>
      <c r="W364" s="4" t="str">
        <f>IF(OR(B364="Invalid Date",C364="Invalid Date"),"Invalid Date",IF(C364&lt;B364,"Invalid Shipping","OK"))</f>
        <v>OK</v>
      </c>
      <c r="X364">
        <f t="shared" si="40"/>
        <v>1</v>
      </c>
      <c r="Y364">
        <f t="shared" si="41"/>
        <v>0.05</v>
      </c>
      <c r="Z364">
        <f t="shared" si="42"/>
        <v>1866.4079999999999</v>
      </c>
      <c r="AA364">
        <f t="shared" si="43"/>
        <v>289.91799999999989</v>
      </c>
      <c r="AB364" s="6">
        <f t="shared" si="44"/>
        <v>0.15533473924243782</v>
      </c>
      <c r="AC364" t="str">
        <f t="shared" si="45"/>
        <v>August</v>
      </c>
      <c r="AD364">
        <f t="shared" si="46"/>
        <v>2024</v>
      </c>
      <c r="AE364" t="str">
        <f t="shared" si="47"/>
        <v>Clean</v>
      </c>
    </row>
    <row r="365" spans="1:31">
      <c r="A365" t="s">
        <v>1193</v>
      </c>
      <c r="B365" s="3">
        <v>45845</v>
      </c>
      <c r="C365" s="3">
        <v>45998</v>
      </c>
      <c r="D365" t="s">
        <v>1194</v>
      </c>
      <c r="E365" t="s">
        <v>162</v>
      </c>
      <c r="F365" t="s">
        <v>90</v>
      </c>
      <c r="G365" t="s">
        <v>38</v>
      </c>
      <c r="H365" t="s">
        <v>99</v>
      </c>
      <c r="I365" t="s">
        <v>100</v>
      </c>
      <c r="J365" t="s">
        <v>41</v>
      </c>
      <c r="K365" t="s">
        <v>42</v>
      </c>
      <c r="L365" t="s">
        <v>1195</v>
      </c>
      <c r="M365" t="s">
        <v>31</v>
      </c>
      <c r="N365">
        <v>5</v>
      </c>
      <c r="O365">
        <v>1831.37</v>
      </c>
      <c r="P365">
        <v>0.25</v>
      </c>
      <c r="Q365">
        <v>6867.64</v>
      </c>
      <c r="R365">
        <v>5205.3599999999997</v>
      </c>
      <c r="S365">
        <v>1662.28</v>
      </c>
      <c r="T365" t="s">
        <v>32</v>
      </c>
      <c r="U365" t="s">
        <v>33</v>
      </c>
      <c r="V365">
        <f>IF(OR(B365="Invalid Date",C365="Invalid Date"),"Invalid Date",C365-B365)</f>
        <v>153</v>
      </c>
      <c r="W365" s="4" t="str">
        <f>IF(OR(B365="Invalid Date",C365="Invalid Date"),"Invalid Date",IF(C365&lt;B365,"Invalid Shipping","OK"))</f>
        <v>OK</v>
      </c>
      <c r="X365">
        <f t="shared" si="40"/>
        <v>1</v>
      </c>
      <c r="Y365">
        <f t="shared" si="41"/>
        <v>0.25</v>
      </c>
      <c r="Z365">
        <f t="shared" si="42"/>
        <v>6867.6374999999989</v>
      </c>
      <c r="AA365">
        <f t="shared" si="43"/>
        <v>1662.2774999999992</v>
      </c>
      <c r="AB365" s="6">
        <f t="shared" si="44"/>
        <v>0.24204502640100028</v>
      </c>
      <c r="AC365" t="str">
        <f t="shared" si="45"/>
        <v>July</v>
      </c>
      <c r="AD365">
        <f t="shared" si="46"/>
        <v>2025</v>
      </c>
      <c r="AE365" t="str">
        <f t="shared" si="47"/>
        <v>Clean</v>
      </c>
    </row>
    <row r="366" spans="1:31">
      <c r="A366" t="s">
        <v>1196</v>
      </c>
      <c r="B366" s="3" t="s">
        <v>2763</v>
      </c>
      <c r="C366" s="3">
        <v>45740</v>
      </c>
      <c r="D366" t="s">
        <v>1197</v>
      </c>
      <c r="E366" t="s">
        <v>128</v>
      </c>
      <c r="F366" t="s">
        <v>37</v>
      </c>
      <c r="G366" t="s">
        <v>54</v>
      </c>
      <c r="H366" t="s">
        <v>84</v>
      </c>
      <c r="I366" t="s">
        <v>85</v>
      </c>
      <c r="J366" t="s">
        <v>41</v>
      </c>
      <c r="K366" t="s">
        <v>66</v>
      </c>
      <c r="L366" t="s">
        <v>1198</v>
      </c>
      <c r="M366" t="s">
        <v>31</v>
      </c>
      <c r="N366">
        <v>5</v>
      </c>
      <c r="O366">
        <v>1239.1500000000001</v>
      </c>
      <c r="P366">
        <v>0</v>
      </c>
      <c r="Q366">
        <v>6195.75</v>
      </c>
      <c r="R366">
        <v>3967.02</v>
      </c>
      <c r="S366">
        <v>2228.73</v>
      </c>
      <c r="T366" t="s">
        <v>32</v>
      </c>
      <c r="U366" t="s">
        <v>33</v>
      </c>
      <c r="V366" t="str">
        <f>IF(OR(B366="Invalid Date",C366="Invalid Date"),"Invalid Date",C366-B366)</f>
        <v>Invalid Date</v>
      </c>
      <c r="W366" s="4" t="str">
        <f>IF(OR(B366="Invalid Date",C366="Invalid Date"),"Invalid Date",IF(C366&lt;B366,"Invalid Shipping","OK"))</f>
        <v>Invalid Date</v>
      </c>
      <c r="X366">
        <f t="shared" si="40"/>
        <v>1</v>
      </c>
      <c r="Y366">
        <f t="shared" si="41"/>
        <v>0</v>
      </c>
      <c r="Z366">
        <f t="shared" si="42"/>
        <v>6195.75</v>
      </c>
      <c r="AA366">
        <f t="shared" si="43"/>
        <v>2228.73</v>
      </c>
      <c r="AB366" s="6">
        <f t="shared" si="44"/>
        <v>0.35971916232901585</v>
      </c>
      <c r="AC366" t="str">
        <f t="shared" si="45"/>
        <v/>
      </c>
      <c r="AD366" t="str">
        <f t="shared" si="46"/>
        <v/>
      </c>
      <c r="AE366" t="str">
        <f t="shared" si="47"/>
        <v>Invalid</v>
      </c>
    </row>
    <row r="367" spans="1:31">
      <c r="A367" t="s">
        <v>1199</v>
      </c>
      <c r="B367" s="3">
        <v>45458</v>
      </c>
      <c r="C367" s="3">
        <v>45464</v>
      </c>
      <c r="D367" t="s">
        <v>1200</v>
      </c>
      <c r="E367" t="s">
        <v>89</v>
      </c>
      <c r="F367" t="s">
        <v>90</v>
      </c>
      <c r="G367" t="s">
        <v>63</v>
      </c>
      <c r="H367" t="s">
        <v>190</v>
      </c>
      <c r="I367" t="s">
        <v>191</v>
      </c>
      <c r="J367" t="s">
        <v>74</v>
      </c>
      <c r="K367" t="s">
        <v>75</v>
      </c>
      <c r="L367" t="s">
        <v>1201</v>
      </c>
      <c r="M367" t="s">
        <v>50</v>
      </c>
      <c r="N367">
        <v>8</v>
      </c>
      <c r="O367">
        <v>1706.4</v>
      </c>
      <c r="P367">
        <v>0</v>
      </c>
      <c r="Q367">
        <v>12968.64</v>
      </c>
      <c r="R367">
        <v>10119.61</v>
      </c>
      <c r="S367">
        <v>2849.03</v>
      </c>
      <c r="T367" t="s">
        <v>32</v>
      </c>
      <c r="U367" t="s">
        <v>33</v>
      </c>
      <c r="V367">
        <f>IF(OR(B367="Invalid Date",C367="Invalid Date"),"Invalid Date",C367-B367)</f>
        <v>6</v>
      </c>
      <c r="W367" s="4" t="str">
        <f>IF(OR(B367="Invalid Date",C367="Invalid Date"),"Invalid Date",IF(C367&lt;B367,"Invalid Shipping","OK"))</f>
        <v>OK</v>
      </c>
      <c r="X367">
        <f t="shared" si="40"/>
        <v>1</v>
      </c>
      <c r="Y367">
        <f t="shared" si="41"/>
        <v>0</v>
      </c>
      <c r="Z367">
        <f t="shared" si="42"/>
        <v>13651.2</v>
      </c>
      <c r="AA367">
        <f t="shared" si="43"/>
        <v>3531.59</v>
      </c>
      <c r="AB367" s="6">
        <f t="shared" si="44"/>
        <v>0.2587017991092358</v>
      </c>
      <c r="AC367" t="str">
        <f t="shared" si="45"/>
        <v>June</v>
      </c>
      <c r="AD367">
        <f t="shared" si="46"/>
        <v>2024</v>
      </c>
      <c r="AE367" t="str">
        <f t="shared" si="47"/>
        <v>Clean</v>
      </c>
    </row>
    <row r="368" spans="1:31">
      <c r="A368" t="s">
        <v>1202</v>
      </c>
      <c r="B368" s="3">
        <v>45673</v>
      </c>
      <c r="C368" s="3">
        <v>45679</v>
      </c>
      <c r="D368" t="s">
        <v>1203</v>
      </c>
      <c r="E368" t="s">
        <v>132</v>
      </c>
      <c r="F368" t="s">
        <v>90</v>
      </c>
      <c r="G368" t="s">
        <v>25</v>
      </c>
      <c r="H368" t="s">
        <v>26</v>
      </c>
      <c r="I368" t="s">
        <v>27</v>
      </c>
      <c r="J368" t="s">
        <v>41</v>
      </c>
      <c r="K368" t="s">
        <v>42</v>
      </c>
      <c r="L368" t="s">
        <v>1204</v>
      </c>
      <c r="M368" t="s">
        <v>44</v>
      </c>
      <c r="N368">
        <v>2</v>
      </c>
      <c r="O368">
        <v>4418.28</v>
      </c>
      <c r="P368">
        <v>0</v>
      </c>
      <c r="Q368">
        <v>8836.56</v>
      </c>
      <c r="R368">
        <v>5867.75</v>
      </c>
      <c r="S368">
        <v>2968.81</v>
      </c>
      <c r="T368" t="s">
        <v>32</v>
      </c>
      <c r="U368" t="s">
        <v>33</v>
      </c>
      <c r="V368">
        <f>IF(OR(B368="Invalid Date",C368="Invalid Date"),"Invalid Date",C368-B368)</f>
        <v>6</v>
      </c>
      <c r="W368" s="4" t="str">
        <f>IF(OR(B368="Invalid Date",C368="Invalid Date"),"Invalid Date",IF(C368&lt;B368,"Invalid Shipping","OK"))</f>
        <v>OK</v>
      </c>
      <c r="X368">
        <f t="shared" si="40"/>
        <v>1</v>
      </c>
      <c r="Y368">
        <f t="shared" si="41"/>
        <v>0</v>
      </c>
      <c r="Z368">
        <f t="shared" si="42"/>
        <v>8836.56</v>
      </c>
      <c r="AA368">
        <f t="shared" si="43"/>
        <v>2968.8099999999995</v>
      </c>
      <c r="AB368" s="6">
        <f t="shared" si="44"/>
        <v>0.33596897435201023</v>
      </c>
      <c r="AC368" t="str">
        <f t="shared" si="45"/>
        <v>January</v>
      </c>
      <c r="AD368">
        <f t="shared" si="46"/>
        <v>2025</v>
      </c>
      <c r="AE368" t="str">
        <f t="shared" si="47"/>
        <v>Clean</v>
      </c>
    </row>
    <row r="369" spans="1:31">
      <c r="A369" t="s">
        <v>1205</v>
      </c>
      <c r="B369" s="3">
        <v>45366</v>
      </c>
      <c r="C369" s="3" t="s">
        <v>2763</v>
      </c>
      <c r="D369" t="s">
        <v>1206</v>
      </c>
      <c r="E369" t="s">
        <v>141</v>
      </c>
      <c r="F369" t="s">
        <v>24</v>
      </c>
      <c r="G369" t="s">
        <v>25</v>
      </c>
      <c r="H369" t="s">
        <v>350</v>
      </c>
      <c r="I369" t="s">
        <v>351</v>
      </c>
      <c r="J369" t="s">
        <v>28</v>
      </c>
      <c r="K369" t="s">
        <v>48</v>
      </c>
      <c r="L369" t="s">
        <v>1207</v>
      </c>
      <c r="M369" t="s">
        <v>59</v>
      </c>
      <c r="N369">
        <v>6</v>
      </c>
      <c r="O369">
        <v>3815.09</v>
      </c>
      <c r="P369">
        <v>0.15</v>
      </c>
      <c r="Q369">
        <v>19456.96</v>
      </c>
      <c r="R369">
        <v>14520.06</v>
      </c>
      <c r="S369">
        <v>4936.8999999999996</v>
      </c>
      <c r="T369" t="s">
        <v>155</v>
      </c>
      <c r="U369" t="s">
        <v>68</v>
      </c>
      <c r="V369" t="str">
        <f>IF(OR(B369="Invalid Date",C369="Invalid Date"),"Invalid Date",C369-B369)</f>
        <v>Invalid Date</v>
      </c>
      <c r="W369" s="4" t="str">
        <f>IF(OR(B369="Invalid Date",C369="Invalid Date"),"Invalid Date",IF(C369&lt;B369,"Invalid Shipping","OK"))</f>
        <v>Invalid Date</v>
      </c>
      <c r="X369">
        <f t="shared" si="40"/>
        <v>1</v>
      </c>
      <c r="Y369">
        <f t="shared" si="41"/>
        <v>0.15</v>
      </c>
      <c r="Z369">
        <f t="shared" si="42"/>
        <v>19456.958999999999</v>
      </c>
      <c r="AA369">
        <f t="shared" si="43"/>
        <v>4936.8989999999994</v>
      </c>
      <c r="AB369" s="6">
        <f t="shared" si="44"/>
        <v>0.25373435797443988</v>
      </c>
      <c r="AC369" t="str">
        <f t="shared" si="45"/>
        <v>March</v>
      </c>
      <c r="AD369">
        <f t="shared" si="46"/>
        <v>2024</v>
      </c>
      <c r="AE369" t="str">
        <f t="shared" si="47"/>
        <v>Invalid</v>
      </c>
    </row>
    <row r="370" spans="1:31">
      <c r="A370" t="s">
        <v>1208</v>
      </c>
      <c r="B370" s="3">
        <v>45844</v>
      </c>
      <c r="C370" s="3">
        <v>45844</v>
      </c>
      <c r="D370" t="s">
        <v>1209</v>
      </c>
      <c r="E370" t="s">
        <v>128</v>
      </c>
      <c r="F370" t="s">
        <v>95</v>
      </c>
      <c r="G370" t="s">
        <v>25</v>
      </c>
      <c r="H370" t="s">
        <v>26</v>
      </c>
      <c r="I370" t="s">
        <v>27</v>
      </c>
      <c r="J370" t="s">
        <v>74</v>
      </c>
      <c r="K370" t="s">
        <v>75</v>
      </c>
      <c r="L370" t="s">
        <v>1210</v>
      </c>
      <c r="M370" t="s">
        <v>44</v>
      </c>
      <c r="N370">
        <v>9</v>
      </c>
      <c r="O370">
        <v>243.19</v>
      </c>
      <c r="P370">
        <v>0.05</v>
      </c>
      <c r="Q370">
        <v>2079.27</v>
      </c>
      <c r="R370">
        <v>1512.17</v>
      </c>
      <c r="S370">
        <v>567.1</v>
      </c>
      <c r="T370" t="s">
        <v>102</v>
      </c>
      <c r="U370" t="s">
        <v>103</v>
      </c>
      <c r="V370">
        <f>IF(OR(B370="Invalid Date",C370="Invalid Date"),"Invalid Date",C370-B370)</f>
        <v>0</v>
      </c>
      <c r="W370" s="4" t="str">
        <f>IF(OR(B370="Invalid Date",C370="Invalid Date"),"Invalid Date",IF(C370&lt;B370,"Invalid Shipping","OK"))</f>
        <v>OK</v>
      </c>
      <c r="X370">
        <f t="shared" si="40"/>
        <v>1</v>
      </c>
      <c r="Y370">
        <f t="shared" si="41"/>
        <v>0.05</v>
      </c>
      <c r="Z370">
        <f t="shared" si="42"/>
        <v>2079.2745</v>
      </c>
      <c r="AA370">
        <f t="shared" si="43"/>
        <v>567.10449999999992</v>
      </c>
      <c r="AB370" s="6">
        <f t="shared" si="44"/>
        <v>0.27274152595051782</v>
      </c>
      <c r="AC370" t="str">
        <f t="shared" si="45"/>
        <v>July</v>
      </c>
      <c r="AD370">
        <f t="shared" si="46"/>
        <v>2025</v>
      </c>
      <c r="AE370" t="str">
        <f t="shared" si="47"/>
        <v>Clean</v>
      </c>
    </row>
    <row r="371" spans="1:31">
      <c r="A371" t="s">
        <v>1211</v>
      </c>
      <c r="B371" s="3">
        <v>45680</v>
      </c>
      <c r="C371" s="3" t="s">
        <v>2763</v>
      </c>
      <c r="D371" t="s">
        <v>1212</v>
      </c>
      <c r="E371" t="s">
        <v>114</v>
      </c>
      <c r="F371" t="s">
        <v>24</v>
      </c>
      <c r="G371" t="s">
        <v>25</v>
      </c>
      <c r="H371" t="s">
        <v>350</v>
      </c>
      <c r="I371" t="s">
        <v>351</v>
      </c>
      <c r="J371" t="s">
        <v>28</v>
      </c>
      <c r="K371" t="s">
        <v>91</v>
      </c>
      <c r="L371" t="s">
        <v>1213</v>
      </c>
      <c r="M371" t="s">
        <v>59</v>
      </c>
      <c r="N371">
        <v>9</v>
      </c>
      <c r="O371">
        <v>1169.3699999999999</v>
      </c>
      <c r="P371">
        <v>0.15</v>
      </c>
      <c r="Q371">
        <v>8945.68</v>
      </c>
      <c r="R371">
        <v>6740.35</v>
      </c>
      <c r="S371">
        <v>2205.33</v>
      </c>
      <c r="T371" t="s">
        <v>32</v>
      </c>
      <c r="U371" t="s">
        <v>33</v>
      </c>
      <c r="V371" t="str">
        <f>IF(OR(B371="Invalid Date",C371="Invalid Date"),"Invalid Date",C371-B371)</f>
        <v>Invalid Date</v>
      </c>
      <c r="W371" s="4" t="str">
        <f>IF(OR(B371="Invalid Date",C371="Invalid Date"),"Invalid Date",IF(C371&lt;B371,"Invalid Shipping","OK"))</f>
        <v>Invalid Date</v>
      </c>
      <c r="X371">
        <f t="shared" si="40"/>
        <v>1</v>
      </c>
      <c r="Y371">
        <f t="shared" si="41"/>
        <v>0.15</v>
      </c>
      <c r="Z371">
        <f t="shared" si="42"/>
        <v>8945.6804999999986</v>
      </c>
      <c r="AA371">
        <f t="shared" si="43"/>
        <v>2205.3304999999982</v>
      </c>
      <c r="AB371" s="6">
        <f t="shared" si="44"/>
        <v>0.24652462157574245</v>
      </c>
      <c r="AC371" t="str">
        <f t="shared" si="45"/>
        <v>January</v>
      </c>
      <c r="AD371">
        <f t="shared" si="46"/>
        <v>2025</v>
      </c>
      <c r="AE371" t="str">
        <f t="shared" si="47"/>
        <v>Invalid</v>
      </c>
    </row>
    <row r="372" spans="1:31">
      <c r="A372" t="s">
        <v>1214</v>
      </c>
      <c r="B372" s="3" t="s">
        <v>2763</v>
      </c>
      <c r="C372" s="3">
        <v>45525</v>
      </c>
      <c r="D372" t="s">
        <v>1215</v>
      </c>
      <c r="E372" t="s">
        <v>62</v>
      </c>
      <c r="F372" t="s">
        <v>37</v>
      </c>
      <c r="G372" t="s">
        <v>63</v>
      </c>
      <c r="H372" t="s">
        <v>26</v>
      </c>
      <c r="I372" t="s">
        <v>109</v>
      </c>
      <c r="J372" t="s">
        <v>74</v>
      </c>
      <c r="K372" t="s">
        <v>80</v>
      </c>
      <c r="L372" t="s">
        <v>1216</v>
      </c>
      <c r="M372" t="s">
        <v>50</v>
      </c>
      <c r="N372">
        <v>7</v>
      </c>
      <c r="O372">
        <v>2333.81</v>
      </c>
      <c r="P372">
        <v>0.2</v>
      </c>
      <c r="Q372">
        <v>13069.34</v>
      </c>
      <c r="R372">
        <v>8768.59</v>
      </c>
      <c r="S372">
        <v>4300.75</v>
      </c>
      <c r="T372" t="s">
        <v>32</v>
      </c>
      <c r="U372" t="s">
        <v>33</v>
      </c>
      <c r="V372" t="str">
        <f>IF(OR(B372="Invalid Date",C372="Invalid Date"),"Invalid Date",C372-B372)</f>
        <v>Invalid Date</v>
      </c>
      <c r="W372" s="4" t="str">
        <f>IF(OR(B372="Invalid Date",C372="Invalid Date"),"Invalid Date",IF(C372&lt;B372,"Invalid Shipping","OK"))</f>
        <v>Invalid Date</v>
      </c>
      <c r="X372">
        <f t="shared" si="40"/>
        <v>1</v>
      </c>
      <c r="Y372">
        <f t="shared" si="41"/>
        <v>0.2</v>
      </c>
      <c r="Z372">
        <f t="shared" si="42"/>
        <v>13069.336000000001</v>
      </c>
      <c r="AA372">
        <f t="shared" si="43"/>
        <v>4300.746000000001</v>
      </c>
      <c r="AB372" s="6">
        <f t="shared" si="44"/>
        <v>0.32907149988339124</v>
      </c>
      <c r="AC372" t="str">
        <f t="shared" si="45"/>
        <v/>
      </c>
      <c r="AD372" t="str">
        <f t="shared" si="46"/>
        <v/>
      </c>
      <c r="AE372" t="str">
        <f t="shared" si="47"/>
        <v>Invalid</v>
      </c>
    </row>
    <row r="373" spans="1:31">
      <c r="A373" t="s">
        <v>1217</v>
      </c>
      <c r="B373" s="3">
        <v>45313</v>
      </c>
      <c r="C373" s="3">
        <v>45315</v>
      </c>
      <c r="D373" t="s">
        <v>1218</v>
      </c>
      <c r="E373" t="s">
        <v>162</v>
      </c>
      <c r="F373" t="s">
        <v>95</v>
      </c>
      <c r="G373" t="s">
        <v>63</v>
      </c>
      <c r="H373" t="s">
        <v>64</v>
      </c>
      <c r="I373" t="s">
        <v>65</v>
      </c>
      <c r="J373" t="s">
        <v>28</v>
      </c>
      <c r="K373" t="s">
        <v>48</v>
      </c>
      <c r="L373" t="s">
        <v>1219</v>
      </c>
      <c r="M373" t="s">
        <v>59</v>
      </c>
      <c r="N373">
        <v>6</v>
      </c>
      <c r="O373">
        <v>1026.06</v>
      </c>
      <c r="P373">
        <v>0</v>
      </c>
      <c r="Q373">
        <v>4617.2700000000004</v>
      </c>
      <c r="R373">
        <v>2981.94</v>
      </c>
      <c r="S373">
        <v>1635.33</v>
      </c>
      <c r="T373" t="s">
        <v>102</v>
      </c>
      <c r="U373" t="s">
        <v>68</v>
      </c>
      <c r="V373">
        <f>IF(OR(B373="Invalid Date",C373="Invalid Date"),"Invalid Date",C373-B373)</f>
        <v>2</v>
      </c>
      <c r="W373" s="4" t="str">
        <f>IF(OR(B373="Invalid Date",C373="Invalid Date"),"Invalid Date",IF(C373&lt;B373,"Invalid Shipping","OK"))</f>
        <v>OK</v>
      </c>
      <c r="X373">
        <f t="shared" si="40"/>
        <v>1</v>
      </c>
      <c r="Y373">
        <f t="shared" si="41"/>
        <v>0</v>
      </c>
      <c r="Z373">
        <f t="shared" si="42"/>
        <v>6156.36</v>
      </c>
      <c r="AA373">
        <f t="shared" si="43"/>
        <v>3174.4199999999996</v>
      </c>
      <c r="AB373" s="6">
        <f t="shared" si="44"/>
        <v>0.51563261407714944</v>
      </c>
      <c r="AC373" t="str">
        <f t="shared" si="45"/>
        <v>January</v>
      </c>
      <c r="AD373">
        <f t="shared" si="46"/>
        <v>2024</v>
      </c>
      <c r="AE373" t="str">
        <f t="shared" si="47"/>
        <v>Clean</v>
      </c>
    </row>
    <row r="374" spans="1:31">
      <c r="A374" t="s">
        <v>1220</v>
      </c>
      <c r="B374" s="3">
        <v>45885</v>
      </c>
      <c r="C374" s="3">
        <v>45887</v>
      </c>
      <c r="D374" t="s">
        <v>641</v>
      </c>
      <c r="E374" t="s">
        <v>264</v>
      </c>
      <c r="F374" t="s">
        <v>24</v>
      </c>
      <c r="G374" t="s">
        <v>38</v>
      </c>
      <c r="H374" t="s">
        <v>228</v>
      </c>
      <c r="I374" t="s">
        <v>229</v>
      </c>
      <c r="J374" t="s">
        <v>41</v>
      </c>
      <c r="K374" t="s">
        <v>66</v>
      </c>
      <c r="L374" t="s">
        <v>1221</v>
      </c>
      <c r="M374" t="s">
        <v>44</v>
      </c>
      <c r="N374">
        <v>5</v>
      </c>
      <c r="O374">
        <v>1530.36</v>
      </c>
      <c r="P374">
        <v>0</v>
      </c>
      <c r="Q374">
        <v>7651.8</v>
      </c>
      <c r="R374">
        <v>5171.78</v>
      </c>
      <c r="S374">
        <v>2480.02</v>
      </c>
      <c r="T374" t="s">
        <v>32</v>
      </c>
      <c r="U374" t="s">
        <v>33</v>
      </c>
      <c r="V374">
        <f>IF(OR(B374="Invalid Date",C374="Invalid Date"),"Invalid Date",C374-B374)</f>
        <v>2</v>
      </c>
      <c r="W374" s="4" t="str">
        <f>IF(OR(B374="Invalid Date",C374="Invalid Date"),"Invalid Date",IF(C374&lt;B374,"Invalid Shipping","OK"))</f>
        <v>OK</v>
      </c>
      <c r="X374">
        <f t="shared" si="40"/>
        <v>1</v>
      </c>
      <c r="Y374">
        <f t="shared" si="41"/>
        <v>0</v>
      </c>
      <c r="Z374">
        <f t="shared" si="42"/>
        <v>7651.7999999999993</v>
      </c>
      <c r="AA374">
        <f t="shared" si="43"/>
        <v>2480.0199999999995</v>
      </c>
      <c r="AB374" s="6">
        <f t="shared" si="44"/>
        <v>0.32410935988917638</v>
      </c>
      <c r="AC374" t="str">
        <f t="shared" si="45"/>
        <v>August</v>
      </c>
      <c r="AD374">
        <f t="shared" si="46"/>
        <v>2025</v>
      </c>
      <c r="AE374" t="str">
        <f t="shared" si="47"/>
        <v>Clean</v>
      </c>
    </row>
    <row r="375" spans="1:31">
      <c r="A375" t="s">
        <v>1222</v>
      </c>
      <c r="B375" s="3">
        <v>45760</v>
      </c>
      <c r="C375" s="3">
        <v>45760</v>
      </c>
      <c r="D375" t="s">
        <v>1223</v>
      </c>
      <c r="E375" t="s">
        <v>132</v>
      </c>
      <c r="F375" t="s">
        <v>37</v>
      </c>
      <c r="G375" t="s">
        <v>25</v>
      </c>
      <c r="H375" t="s">
        <v>136</v>
      </c>
      <c r="I375" t="s">
        <v>137</v>
      </c>
      <c r="J375" t="s">
        <v>28</v>
      </c>
      <c r="K375" t="s">
        <v>124</v>
      </c>
      <c r="L375" t="s">
        <v>1224</v>
      </c>
      <c r="M375" t="s">
        <v>31</v>
      </c>
      <c r="N375">
        <v>9</v>
      </c>
      <c r="O375">
        <v>1118.68</v>
      </c>
      <c r="P375">
        <v>0</v>
      </c>
      <c r="Q375">
        <v>10068.120000000001</v>
      </c>
      <c r="R375">
        <v>8595.3700000000008</v>
      </c>
      <c r="S375">
        <v>1472.75</v>
      </c>
      <c r="T375" t="s">
        <v>32</v>
      </c>
      <c r="U375" t="s">
        <v>33</v>
      </c>
      <c r="V375">
        <f>IF(OR(B375="Invalid Date",C375="Invalid Date"),"Invalid Date",C375-B375)</f>
        <v>0</v>
      </c>
      <c r="W375" s="4" t="str">
        <f>IF(OR(B375="Invalid Date",C375="Invalid Date"),"Invalid Date",IF(C375&lt;B375,"Invalid Shipping","OK"))</f>
        <v>OK</v>
      </c>
      <c r="X375">
        <f t="shared" si="40"/>
        <v>2</v>
      </c>
      <c r="Y375">
        <f t="shared" si="41"/>
        <v>0</v>
      </c>
      <c r="Z375">
        <f t="shared" si="42"/>
        <v>10068.120000000001</v>
      </c>
      <c r="AA375">
        <f t="shared" si="43"/>
        <v>1472.75</v>
      </c>
      <c r="AB375" s="6">
        <f t="shared" si="44"/>
        <v>0.14627855051389932</v>
      </c>
      <c r="AC375" t="str">
        <f t="shared" si="45"/>
        <v>April</v>
      </c>
      <c r="AD375">
        <f t="shared" si="46"/>
        <v>2025</v>
      </c>
      <c r="AE375" t="str">
        <f t="shared" si="47"/>
        <v>Clean</v>
      </c>
    </row>
    <row r="376" spans="1:31">
      <c r="A376" t="s">
        <v>1225</v>
      </c>
      <c r="B376" s="3">
        <v>45715</v>
      </c>
      <c r="C376" s="3">
        <v>45716</v>
      </c>
      <c r="D376" t="s">
        <v>1226</v>
      </c>
      <c r="E376" t="s">
        <v>89</v>
      </c>
      <c r="F376" t="s">
        <v>37</v>
      </c>
      <c r="G376" t="s">
        <v>25</v>
      </c>
      <c r="H376" t="s">
        <v>136</v>
      </c>
      <c r="I376" t="s">
        <v>137</v>
      </c>
      <c r="J376" t="s">
        <v>28</v>
      </c>
      <c r="K376" t="s">
        <v>91</v>
      </c>
      <c r="L376" t="s">
        <v>1227</v>
      </c>
      <c r="M376" t="s">
        <v>59</v>
      </c>
      <c r="N376">
        <v>6</v>
      </c>
      <c r="O376">
        <v>2393.25</v>
      </c>
      <c r="P376">
        <v>0</v>
      </c>
      <c r="Q376">
        <v>14359.5</v>
      </c>
      <c r="R376">
        <v>8117.71</v>
      </c>
      <c r="S376">
        <v>6241.79</v>
      </c>
      <c r="T376" t="s">
        <v>32</v>
      </c>
      <c r="U376" t="s">
        <v>33</v>
      </c>
      <c r="V376">
        <f>IF(OR(B376="Invalid Date",C376="Invalid Date"),"Invalid Date",C376-B376)</f>
        <v>1</v>
      </c>
      <c r="W376" s="4" t="str">
        <f>IF(OR(B376="Invalid Date",C376="Invalid Date"),"Invalid Date",IF(C376&lt;B376,"Invalid Shipping","OK"))</f>
        <v>OK</v>
      </c>
      <c r="X376">
        <f t="shared" si="40"/>
        <v>1</v>
      </c>
      <c r="Y376">
        <f t="shared" si="41"/>
        <v>0</v>
      </c>
      <c r="Z376">
        <f t="shared" si="42"/>
        <v>14359.5</v>
      </c>
      <c r="AA376">
        <f t="shared" si="43"/>
        <v>6241.79</v>
      </c>
      <c r="AB376" s="6">
        <f t="shared" si="44"/>
        <v>0.43468017688638183</v>
      </c>
      <c r="AC376" t="str">
        <f t="shared" si="45"/>
        <v>February</v>
      </c>
      <c r="AD376">
        <f t="shared" si="46"/>
        <v>2025</v>
      </c>
      <c r="AE376" t="str">
        <f t="shared" si="47"/>
        <v>Clean</v>
      </c>
    </row>
    <row r="377" spans="1:31">
      <c r="A377" t="s">
        <v>1228</v>
      </c>
      <c r="B377" s="3">
        <v>45657</v>
      </c>
      <c r="C377" s="3">
        <v>45661</v>
      </c>
      <c r="D377" t="s">
        <v>1229</v>
      </c>
      <c r="E377" t="s">
        <v>71</v>
      </c>
      <c r="F377" t="s">
        <v>24</v>
      </c>
      <c r="G377" t="s">
        <v>25</v>
      </c>
      <c r="H377" t="s">
        <v>350</v>
      </c>
      <c r="I377" t="s">
        <v>351</v>
      </c>
      <c r="J377" t="s">
        <v>41</v>
      </c>
      <c r="K377" t="s">
        <v>66</v>
      </c>
      <c r="L377" t="s">
        <v>1230</v>
      </c>
      <c r="M377" t="s">
        <v>44</v>
      </c>
      <c r="N377">
        <v>3</v>
      </c>
      <c r="O377">
        <v>1166.6099999999999</v>
      </c>
      <c r="P377">
        <v>0.25</v>
      </c>
      <c r="Q377">
        <v>2624.87</v>
      </c>
      <c r="R377">
        <v>2253.88</v>
      </c>
      <c r="S377">
        <v>370.99</v>
      </c>
      <c r="T377" t="s">
        <v>32</v>
      </c>
      <c r="U377" t="s">
        <v>33</v>
      </c>
      <c r="V377">
        <f>IF(OR(B377="Invalid Date",C377="Invalid Date"),"Invalid Date",C377-B377)</f>
        <v>4</v>
      </c>
      <c r="W377" s="4" t="str">
        <f>IF(OR(B377="Invalid Date",C377="Invalid Date"),"Invalid Date",IF(C377&lt;B377,"Invalid Shipping","OK"))</f>
        <v>OK</v>
      </c>
      <c r="X377">
        <f t="shared" si="40"/>
        <v>1</v>
      </c>
      <c r="Y377">
        <f t="shared" si="41"/>
        <v>0.25</v>
      </c>
      <c r="Z377">
        <f t="shared" si="42"/>
        <v>2624.8724999999999</v>
      </c>
      <c r="AA377">
        <f t="shared" si="43"/>
        <v>370.99249999999984</v>
      </c>
      <c r="AB377" s="6">
        <f t="shared" si="44"/>
        <v>0.14133734114704613</v>
      </c>
      <c r="AC377" t="str">
        <f t="shared" si="45"/>
        <v>December</v>
      </c>
      <c r="AD377">
        <f t="shared" si="46"/>
        <v>2024</v>
      </c>
      <c r="AE377" t="str">
        <f t="shared" si="47"/>
        <v>Clean</v>
      </c>
    </row>
    <row r="378" spans="1:31">
      <c r="A378" t="s">
        <v>1231</v>
      </c>
      <c r="B378" s="3">
        <v>45655</v>
      </c>
      <c r="C378" s="3">
        <v>45657</v>
      </c>
      <c r="D378" t="s">
        <v>1232</v>
      </c>
      <c r="E378" t="s">
        <v>47</v>
      </c>
      <c r="F378" t="s">
        <v>37</v>
      </c>
      <c r="G378" t="s">
        <v>38</v>
      </c>
      <c r="H378" t="s">
        <v>145</v>
      </c>
      <c r="I378" t="s">
        <v>146</v>
      </c>
      <c r="J378" t="s">
        <v>41</v>
      </c>
      <c r="K378" t="s">
        <v>66</v>
      </c>
      <c r="L378" t="s">
        <v>1233</v>
      </c>
      <c r="M378" t="s">
        <v>50</v>
      </c>
      <c r="N378">
        <v>6</v>
      </c>
      <c r="O378">
        <v>1844.78</v>
      </c>
      <c r="P378">
        <v>0.2</v>
      </c>
      <c r="Q378">
        <v>8854.94</v>
      </c>
      <c r="R378">
        <v>7433.95</v>
      </c>
      <c r="S378">
        <v>1420.99</v>
      </c>
      <c r="T378" t="s">
        <v>32</v>
      </c>
      <c r="U378" t="s">
        <v>33</v>
      </c>
      <c r="V378">
        <f>IF(OR(B378="Invalid Date",C378="Invalid Date"),"Invalid Date",C378-B378)</f>
        <v>2</v>
      </c>
      <c r="W378" s="4" t="str">
        <f>IF(OR(B378="Invalid Date",C378="Invalid Date"),"Invalid Date",IF(C378&lt;B378,"Invalid Shipping","OK"))</f>
        <v>OK</v>
      </c>
      <c r="X378">
        <f t="shared" si="40"/>
        <v>1</v>
      </c>
      <c r="Y378">
        <f t="shared" si="41"/>
        <v>0.2</v>
      </c>
      <c r="Z378">
        <f t="shared" si="42"/>
        <v>8854.9440000000013</v>
      </c>
      <c r="AA378">
        <f t="shared" si="43"/>
        <v>1420.9940000000015</v>
      </c>
      <c r="AB378" s="6">
        <f t="shared" si="44"/>
        <v>0.1604746455765278</v>
      </c>
      <c r="AC378" t="str">
        <f t="shared" si="45"/>
        <v>December</v>
      </c>
      <c r="AD378">
        <f t="shared" si="46"/>
        <v>2024</v>
      </c>
      <c r="AE378" t="str">
        <f t="shared" si="47"/>
        <v>Clean</v>
      </c>
    </row>
    <row r="379" spans="1:31">
      <c r="A379" t="s">
        <v>1234</v>
      </c>
      <c r="B379" s="3">
        <v>45801</v>
      </c>
      <c r="C379" s="3">
        <v>45807</v>
      </c>
      <c r="D379" t="s">
        <v>1235</v>
      </c>
      <c r="E379" t="s">
        <v>264</v>
      </c>
      <c r="F379" t="s">
        <v>37</v>
      </c>
      <c r="G379" t="s">
        <v>38</v>
      </c>
      <c r="H379" t="s">
        <v>39</v>
      </c>
      <c r="I379" t="s">
        <v>40</v>
      </c>
      <c r="J379" t="s">
        <v>28</v>
      </c>
      <c r="K379" t="s">
        <v>124</v>
      </c>
      <c r="L379" t="s">
        <v>1236</v>
      </c>
      <c r="M379" t="s">
        <v>44</v>
      </c>
      <c r="N379">
        <v>1</v>
      </c>
      <c r="O379">
        <v>2564.7399999999998</v>
      </c>
      <c r="P379">
        <v>0</v>
      </c>
      <c r="Q379">
        <v>2564.7399999999998</v>
      </c>
      <c r="R379">
        <v>1754.58</v>
      </c>
      <c r="S379">
        <v>810.16</v>
      </c>
      <c r="T379" t="s">
        <v>32</v>
      </c>
      <c r="U379" t="s">
        <v>33</v>
      </c>
      <c r="V379">
        <f>IF(OR(B379="Invalid Date",C379="Invalid Date"),"Invalid Date",C379-B379)</f>
        <v>6</v>
      </c>
      <c r="W379" s="4" t="str">
        <f>IF(OR(B379="Invalid Date",C379="Invalid Date"),"Invalid Date",IF(C379&lt;B379,"Invalid Shipping","OK"))</f>
        <v>OK</v>
      </c>
      <c r="X379">
        <f t="shared" si="40"/>
        <v>1</v>
      </c>
      <c r="Y379">
        <f t="shared" si="41"/>
        <v>0</v>
      </c>
      <c r="Z379">
        <f t="shared" si="42"/>
        <v>2564.7399999999998</v>
      </c>
      <c r="AA379">
        <f t="shared" si="43"/>
        <v>810.15999999999985</v>
      </c>
      <c r="AB379" s="6">
        <f t="shared" si="44"/>
        <v>0.31588387126960232</v>
      </c>
      <c r="AC379" t="str">
        <f t="shared" si="45"/>
        <v>May</v>
      </c>
      <c r="AD379">
        <f t="shared" si="46"/>
        <v>2025</v>
      </c>
      <c r="AE379" t="str">
        <f t="shared" si="47"/>
        <v>Clean</v>
      </c>
    </row>
    <row r="380" spans="1:31">
      <c r="A380" t="s">
        <v>1237</v>
      </c>
      <c r="B380" s="3">
        <v>45799</v>
      </c>
      <c r="C380" s="3">
        <v>45799</v>
      </c>
      <c r="D380" t="s">
        <v>1238</v>
      </c>
      <c r="E380" t="s">
        <v>36</v>
      </c>
      <c r="F380" t="s">
        <v>24</v>
      </c>
      <c r="G380" t="s">
        <v>63</v>
      </c>
      <c r="H380" t="s">
        <v>190</v>
      </c>
      <c r="I380" t="s">
        <v>191</v>
      </c>
      <c r="J380" t="s">
        <v>74</v>
      </c>
      <c r="K380" t="s">
        <v>75</v>
      </c>
      <c r="L380" t="s">
        <v>1239</v>
      </c>
      <c r="M380" t="s">
        <v>59</v>
      </c>
      <c r="N380">
        <v>2</v>
      </c>
      <c r="O380">
        <v>3910.61</v>
      </c>
      <c r="P380">
        <v>0</v>
      </c>
      <c r="Q380">
        <v>7821.22</v>
      </c>
      <c r="R380">
        <v>4994.46</v>
      </c>
      <c r="S380">
        <v>2826.76</v>
      </c>
      <c r="T380" t="s">
        <v>32</v>
      </c>
      <c r="U380" t="s">
        <v>33</v>
      </c>
      <c r="V380">
        <f>IF(OR(B380="Invalid Date",C380="Invalid Date"),"Invalid Date",C380-B380)</f>
        <v>0</v>
      </c>
      <c r="W380" s="4" t="str">
        <f>IF(OR(B380="Invalid Date",C380="Invalid Date"),"Invalid Date",IF(C380&lt;B380,"Invalid Shipping","OK"))</f>
        <v>OK</v>
      </c>
      <c r="X380">
        <f t="shared" si="40"/>
        <v>1</v>
      </c>
      <c r="Y380">
        <f t="shared" si="41"/>
        <v>0</v>
      </c>
      <c r="Z380">
        <f t="shared" si="42"/>
        <v>7821.22</v>
      </c>
      <c r="AA380">
        <f t="shared" si="43"/>
        <v>2826.76</v>
      </c>
      <c r="AB380" s="6">
        <f t="shared" si="44"/>
        <v>0.36142187535959863</v>
      </c>
      <c r="AC380" t="str">
        <f t="shared" si="45"/>
        <v>May</v>
      </c>
      <c r="AD380">
        <f t="shared" si="46"/>
        <v>2025</v>
      </c>
      <c r="AE380" t="str">
        <f t="shared" si="47"/>
        <v>Clean</v>
      </c>
    </row>
    <row r="381" spans="1:31">
      <c r="A381" t="s">
        <v>1240</v>
      </c>
      <c r="B381" s="3" t="s">
        <v>2763</v>
      </c>
      <c r="C381" s="3">
        <v>45558</v>
      </c>
      <c r="D381" t="s">
        <v>1241</v>
      </c>
      <c r="E381" t="s">
        <v>36</v>
      </c>
      <c r="F381" t="s">
        <v>37</v>
      </c>
      <c r="G381" t="s">
        <v>54</v>
      </c>
      <c r="H381" t="s">
        <v>185</v>
      </c>
      <c r="I381" t="s">
        <v>186</v>
      </c>
      <c r="J381" t="s">
        <v>28</v>
      </c>
      <c r="K381" t="s">
        <v>29</v>
      </c>
      <c r="L381" t="s">
        <v>1242</v>
      </c>
      <c r="M381" t="s">
        <v>59</v>
      </c>
      <c r="N381">
        <v>7</v>
      </c>
      <c r="O381">
        <v>1136.68</v>
      </c>
      <c r="P381">
        <v>0</v>
      </c>
      <c r="Q381">
        <v>7956.76</v>
      </c>
      <c r="R381">
        <v>4799.54</v>
      </c>
      <c r="S381">
        <v>3157.22</v>
      </c>
      <c r="T381" t="s">
        <v>32</v>
      </c>
      <c r="U381" t="s">
        <v>33</v>
      </c>
      <c r="V381" t="str">
        <f>IF(OR(B381="Invalid Date",C381="Invalid Date"),"Invalid Date",C381-B381)</f>
        <v>Invalid Date</v>
      </c>
      <c r="W381" s="4" t="str">
        <f>IF(OR(B381="Invalid Date",C381="Invalid Date"),"Invalid Date",IF(C381&lt;B381,"Invalid Shipping","OK"))</f>
        <v>Invalid Date</v>
      </c>
      <c r="X381">
        <f t="shared" si="40"/>
        <v>1</v>
      </c>
      <c r="Y381">
        <f t="shared" si="41"/>
        <v>0</v>
      </c>
      <c r="Z381">
        <f t="shared" si="42"/>
        <v>7956.76</v>
      </c>
      <c r="AA381">
        <f t="shared" si="43"/>
        <v>3157.2200000000003</v>
      </c>
      <c r="AB381" s="6">
        <f t="shared" si="44"/>
        <v>0.39679718880549369</v>
      </c>
      <c r="AC381" t="str">
        <f t="shared" si="45"/>
        <v/>
      </c>
      <c r="AD381" t="str">
        <f t="shared" si="46"/>
        <v/>
      </c>
      <c r="AE381" t="str">
        <f t="shared" si="47"/>
        <v>Invalid</v>
      </c>
    </row>
    <row r="382" spans="1:31">
      <c r="A382" t="s">
        <v>1243</v>
      </c>
      <c r="B382" s="3">
        <v>45389</v>
      </c>
      <c r="C382" s="3">
        <v>45396</v>
      </c>
      <c r="D382" t="s">
        <v>1244</v>
      </c>
      <c r="E382" t="s">
        <v>71</v>
      </c>
      <c r="F382" t="s">
        <v>24</v>
      </c>
      <c r="G382" t="s">
        <v>63</v>
      </c>
      <c r="H382" t="s">
        <v>64</v>
      </c>
      <c r="I382" t="s">
        <v>65</v>
      </c>
      <c r="J382" t="s">
        <v>41</v>
      </c>
      <c r="K382" t="s">
        <v>158</v>
      </c>
      <c r="L382" t="s">
        <v>1245</v>
      </c>
      <c r="M382" t="s">
        <v>44</v>
      </c>
      <c r="N382">
        <v>5</v>
      </c>
      <c r="O382">
        <v>2235.85</v>
      </c>
      <c r="P382">
        <v>0.25</v>
      </c>
      <c r="Q382">
        <v>8384.44</v>
      </c>
      <c r="R382">
        <v>4765.96</v>
      </c>
      <c r="S382">
        <v>3618.48</v>
      </c>
      <c r="T382" t="s">
        <v>32</v>
      </c>
      <c r="U382" t="s">
        <v>103</v>
      </c>
      <c r="V382">
        <f>IF(OR(B382="Invalid Date",C382="Invalid Date"),"Invalid Date",C382-B382)</f>
        <v>7</v>
      </c>
      <c r="W382" s="4" t="str">
        <f>IF(OR(B382="Invalid Date",C382="Invalid Date"),"Invalid Date",IF(C382&lt;B382,"Invalid Shipping","OK"))</f>
        <v>OK</v>
      </c>
      <c r="X382">
        <f t="shared" si="40"/>
        <v>1</v>
      </c>
      <c r="Y382">
        <f t="shared" si="41"/>
        <v>0.25</v>
      </c>
      <c r="Z382">
        <f t="shared" si="42"/>
        <v>8384.4375</v>
      </c>
      <c r="AA382">
        <f t="shared" si="43"/>
        <v>3618.4775</v>
      </c>
      <c r="AB382" s="6">
        <f t="shared" si="44"/>
        <v>0.43157069272685256</v>
      </c>
      <c r="AC382" t="str">
        <f t="shared" si="45"/>
        <v>April</v>
      </c>
      <c r="AD382">
        <f t="shared" si="46"/>
        <v>2024</v>
      </c>
      <c r="AE382" t="str">
        <f t="shared" si="47"/>
        <v>Clean</v>
      </c>
    </row>
    <row r="383" spans="1:31">
      <c r="A383" t="s">
        <v>1246</v>
      </c>
      <c r="B383" s="3">
        <v>45919</v>
      </c>
      <c r="C383" s="3">
        <v>45923</v>
      </c>
      <c r="D383" t="s">
        <v>1247</v>
      </c>
      <c r="E383" t="s">
        <v>53</v>
      </c>
      <c r="F383" t="s">
        <v>95</v>
      </c>
      <c r="G383" t="s">
        <v>25</v>
      </c>
      <c r="H383" t="s">
        <v>350</v>
      </c>
      <c r="I383" t="s">
        <v>351</v>
      </c>
      <c r="J383" t="s">
        <v>28</v>
      </c>
      <c r="K383" t="s">
        <v>153</v>
      </c>
      <c r="L383" t="s">
        <v>1248</v>
      </c>
      <c r="M383" t="s">
        <v>59</v>
      </c>
      <c r="N383">
        <v>4</v>
      </c>
      <c r="O383">
        <v>4387.1499999999996</v>
      </c>
      <c r="P383">
        <v>0.05</v>
      </c>
      <c r="Q383">
        <v>16671.169999999998</v>
      </c>
      <c r="R383">
        <v>10833.19</v>
      </c>
      <c r="S383">
        <v>5837.98</v>
      </c>
      <c r="T383" t="s">
        <v>155</v>
      </c>
      <c r="U383" t="s">
        <v>68</v>
      </c>
      <c r="V383">
        <f>IF(OR(B383="Invalid Date",C383="Invalid Date"),"Invalid Date",C383-B383)</f>
        <v>4</v>
      </c>
      <c r="W383" s="4" t="str">
        <f>IF(OR(B383="Invalid Date",C383="Invalid Date"),"Invalid Date",IF(C383&lt;B383,"Invalid Shipping","OK"))</f>
        <v>OK</v>
      </c>
      <c r="X383">
        <f t="shared" si="40"/>
        <v>1</v>
      </c>
      <c r="Y383">
        <f t="shared" si="41"/>
        <v>0.05</v>
      </c>
      <c r="Z383">
        <f t="shared" si="42"/>
        <v>16671.169999999998</v>
      </c>
      <c r="AA383">
        <f t="shared" si="43"/>
        <v>5837.9799999999977</v>
      </c>
      <c r="AB383" s="6">
        <f t="shared" si="44"/>
        <v>0.35018418023450054</v>
      </c>
      <c r="AC383" t="str">
        <f t="shared" si="45"/>
        <v>September</v>
      </c>
      <c r="AD383">
        <f t="shared" si="46"/>
        <v>2025</v>
      </c>
      <c r="AE383" t="str">
        <f t="shared" si="47"/>
        <v>Clean</v>
      </c>
    </row>
    <row r="384" spans="1:31">
      <c r="A384" t="s">
        <v>1249</v>
      </c>
      <c r="B384" s="3">
        <v>45720</v>
      </c>
      <c r="C384" s="3">
        <v>45872</v>
      </c>
      <c r="D384" t="s">
        <v>157</v>
      </c>
      <c r="E384" t="s">
        <v>53</v>
      </c>
      <c r="F384" t="s">
        <v>37</v>
      </c>
      <c r="G384" t="s">
        <v>38</v>
      </c>
      <c r="H384" t="s">
        <v>145</v>
      </c>
      <c r="I384" t="s">
        <v>146</v>
      </c>
      <c r="J384" t="s">
        <v>74</v>
      </c>
      <c r="K384" t="s">
        <v>171</v>
      </c>
      <c r="L384" t="s">
        <v>1250</v>
      </c>
      <c r="M384" t="s">
        <v>50</v>
      </c>
      <c r="N384">
        <v>3</v>
      </c>
      <c r="O384">
        <v>4361.8500000000004</v>
      </c>
      <c r="P384">
        <v>0.2</v>
      </c>
      <c r="Q384">
        <v>10468.44</v>
      </c>
      <c r="R384">
        <v>8399.8700000000008</v>
      </c>
      <c r="S384">
        <v>2068.5700000000002</v>
      </c>
      <c r="T384" t="s">
        <v>32</v>
      </c>
      <c r="U384" t="s">
        <v>33</v>
      </c>
      <c r="V384">
        <f>IF(OR(B384="Invalid Date",C384="Invalid Date"),"Invalid Date",C384-B384)</f>
        <v>152</v>
      </c>
      <c r="W384" s="4" t="str">
        <f>IF(OR(B384="Invalid Date",C384="Invalid Date"),"Invalid Date",IF(C384&lt;B384,"Invalid Shipping","OK"))</f>
        <v>OK</v>
      </c>
      <c r="X384">
        <f t="shared" si="40"/>
        <v>1</v>
      </c>
      <c r="Y384">
        <f t="shared" si="41"/>
        <v>0.2</v>
      </c>
      <c r="Z384">
        <f t="shared" si="42"/>
        <v>10468.440000000002</v>
      </c>
      <c r="AA384">
        <f t="shared" si="43"/>
        <v>2068.5700000000015</v>
      </c>
      <c r="AB384" s="6">
        <f t="shared" si="44"/>
        <v>0.19760059760575607</v>
      </c>
      <c r="AC384" t="str">
        <f t="shared" si="45"/>
        <v>March</v>
      </c>
      <c r="AD384">
        <f t="shared" si="46"/>
        <v>2025</v>
      </c>
      <c r="AE384" t="str">
        <f t="shared" si="47"/>
        <v>Clean</v>
      </c>
    </row>
    <row r="385" spans="1:31">
      <c r="A385" t="s">
        <v>1251</v>
      </c>
      <c r="B385" s="3">
        <v>45836</v>
      </c>
      <c r="C385" s="3">
        <v>45843</v>
      </c>
      <c r="D385" t="s">
        <v>1252</v>
      </c>
      <c r="E385" t="s">
        <v>71</v>
      </c>
      <c r="F385" t="s">
        <v>90</v>
      </c>
      <c r="G385" t="s">
        <v>38</v>
      </c>
      <c r="H385" t="s">
        <v>99</v>
      </c>
      <c r="I385" t="s">
        <v>100</v>
      </c>
      <c r="J385" t="s">
        <v>28</v>
      </c>
      <c r="K385" t="s">
        <v>48</v>
      </c>
      <c r="L385" t="s">
        <v>1253</v>
      </c>
      <c r="M385" t="s">
        <v>50</v>
      </c>
      <c r="N385">
        <v>2</v>
      </c>
      <c r="O385">
        <v>2242.75</v>
      </c>
      <c r="P385">
        <v>0</v>
      </c>
      <c r="Q385">
        <v>4485.5</v>
      </c>
      <c r="R385">
        <v>3131.86</v>
      </c>
      <c r="S385">
        <v>1353.64</v>
      </c>
      <c r="T385" t="s">
        <v>32</v>
      </c>
      <c r="U385" t="s">
        <v>68</v>
      </c>
      <c r="V385">
        <f>IF(OR(B385="Invalid Date",C385="Invalid Date"),"Invalid Date",C385-B385)</f>
        <v>7</v>
      </c>
      <c r="W385" s="4" t="str">
        <f>IF(OR(B385="Invalid Date",C385="Invalid Date"),"Invalid Date",IF(C385&lt;B385,"Invalid Shipping","OK"))</f>
        <v>OK</v>
      </c>
      <c r="X385">
        <f t="shared" si="40"/>
        <v>1</v>
      </c>
      <c r="Y385">
        <f t="shared" si="41"/>
        <v>0</v>
      </c>
      <c r="Z385">
        <f t="shared" si="42"/>
        <v>4485.5</v>
      </c>
      <c r="AA385">
        <f t="shared" si="43"/>
        <v>1353.6399999999999</v>
      </c>
      <c r="AB385" s="6">
        <f t="shared" si="44"/>
        <v>0.30178129528480657</v>
      </c>
      <c r="AC385" t="str">
        <f t="shared" si="45"/>
        <v>June</v>
      </c>
      <c r="AD385">
        <f t="shared" si="46"/>
        <v>2025</v>
      </c>
      <c r="AE385" t="str">
        <f t="shared" si="47"/>
        <v>Clean</v>
      </c>
    </row>
    <row r="386" spans="1:31">
      <c r="A386" t="s">
        <v>1254</v>
      </c>
      <c r="B386" s="3">
        <v>45366</v>
      </c>
      <c r="C386" s="3">
        <v>45371</v>
      </c>
      <c r="D386" t="s">
        <v>1255</v>
      </c>
      <c r="E386" t="s">
        <v>141</v>
      </c>
      <c r="F386" t="s">
        <v>24</v>
      </c>
      <c r="G386" t="s">
        <v>38</v>
      </c>
      <c r="H386" t="s">
        <v>228</v>
      </c>
      <c r="I386" t="s">
        <v>229</v>
      </c>
      <c r="J386" t="s">
        <v>74</v>
      </c>
      <c r="K386" t="s">
        <v>80</v>
      </c>
      <c r="L386" t="s">
        <v>1256</v>
      </c>
      <c r="M386" t="s">
        <v>59</v>
      </c>
      <c r="N386">
        <v>2</v>
      </c>
      <c r="O386">
        <v>1881.4</v>
      </c>
      <c r="P386">
        <v>0.25</v>
      </c>
      <c r="Q386">
        <v>2822.1</v>
      </c>
      <c r="R386">
        <v>1624.57</v>
      </c>
      <c r="S386">
        <v>1197.53</v>
      </c>
      <c r="T386" t="s">
        <v>32</v>
      </c>
      <c r="U386" t="s">
        <v>103</v>
      </c>
      <c r="V386">
        <f>IF(OR(B386="Invalid Date",C386="Invalid Date"),"Invalid Date",C386-B386)</f>
        <v>5</v>
      </c>
      <c r="W386" s="4" t="str">
        <f>IF(OR(B386="Invalid Date",C386="Invalid Date"),"Invalid Date",IF(C386&lt;B386,"Invalid Shipping","OK"))</f>
        <v>OK</v>
      </c>
      <c r="X386">
        <f t="shared" si="40"/>
        <v>1</v>
      </c>
      <c r="Y386">
        <f t="shared" si="41"/>
        <v>0.25</v>
      </c>
      <c r="Z386">
        <f t="shared" si="42"/>
        <v>2822.1000000000004</v>
      </c>
      <c r="AA386">
        <f t="shared" si="43"/>
        <v>1197.5300000000004</v>
      </c>
      <c r="AB386" s="6">
        <f t="shared" si="44"/>
        <v>0.42434003047376079</v>
      </c>
      <c r="AC386" t="str">
        <f t="shared" si="45"/>
        <v>March</v>
      </c>
      <c r="AD386">
        <f t="shared" si="46"/>
        <v>2024</v>
      </c>
      <c r="AE386" t="str">
        <f t="shared" si="47"/>
        <v>Clean</v>
      </c>
    </row>
    <row r="387" spans="1:31">
      <c r="A387" t="s">
        <v>1257</v>
      </c>
      <c r="B387" s="3">
        <v>45832</v>
      </c>
      <c r="C387" s="3">
        <v>45838</v>
      </c>
      <c r="D387" t="s">
        <v>1258</v>
      </c>
      <c r="E387" t="s">
        <v>53</v>
      </c>
      <c r="F387" t="s">
        <v>24</v>
      </c>
      <c r="G387" t="s">
        <v>25</v>
      </c>
      <c r="H387" t="s">
        <v>236</v>
      </c>
      <c r="I387" t="s">
        <v>237</v>
      </c>
      <c r="J387" t="s">
        <v>28</v>
      </c>
      <c r="K387" t="s">
        <v>91</v>
      </c>
      <c r="L387" t="s">
        <v>1259</v>
      </c>
      <c r="M387" t="s">
        <v>59</v>
      </c>
      <c r="N387">
        <v>6</v>
      </c>
      <c r="O387">
        <v>365.76</v>
      </c>
      <c r="P387">
        <v>0.1</v>
      </c>
      <c r="Q387">
        <v>1975.1</v>
      </c>
      <c r="R387">
        <v>1115.3499999999999</v>
      </c>
      <c r="S387">
        <v>859.75</v>
      </c>
      <c r="T387" t="s">
        <v>32</v>
      </c>
      <c r="U387" t="s">
        <v>33</v>
      </c>
      <c r="V387">
        <f>IF(OR(B387="Invalid Date",C387="Invalid Date"),"Invalid Date",C387-B387)</f>
        <v>6</v>
      </c>
      <c r="W387" s="4" t="str">
        <f>IF(OR(B387="Invalid Date",C387="Invalid Date"),"Invalid Date",IF(C387&lt;B387,"Invalid Shipping","OK"))</f>
        <v>OK</v>
      </c>
      <c r="X387">
        <f t="shared" ref="X387:X450" si="48">COUNTIF($A:$A,A387)</f>
        <v>1</v>
      </c>
      <c r="Y387">
        <f t="shared" ref="Y387:Y450" si="49">IF(P387="",0,IF(OR(P387&lt;0,P387&gt;1),"Invalid",P387))</f>
        <v>0.1</v>
      </c>
      <c r="Z387">
        <f t="shared" ref="Z387:Z450" si="50">IF(ISTEXT(Y387),"",N387*O387*(1-Y387))</f>
        <v>1975.104</v>
      </c>
      <c r="AA387">
        <f t="shared" ref="AA387:AA450" si="51">IF(Z387="","",Z387-R387)</f>
        <v>859.75400000000013</v>
      </c>
      <c r="AB387" s="6">
        <f t="shared" ref="AB387:AB450" si="52">IF(OR(Z387="",Z387=0),"",AA387/Z387)</f>
        <v>0.4352955591199249</v>
      </c>
      <c r="AC387" t="str">
        <f t="shared" ref="AC387:AC450" si="53">IF(ISNUMBER(B387),TEXT(B387,"mmmm"),"")</f>
        <v>June</v>
      </c>
      <c r="AD387">
        <f t="shared" ref="AD387:AD450" si="54">IF(ISNUMBER(B387),YEAR(B387),"")</f>
        <v>2025</v>
      </c>
      <c r="AE387" t="str">
        <f t="shared" ref="AE387:AE450" si="55">IF(OR(B387="Invalid Date",C387="Invalid Date",W387="Invalid Date",W387="Invalid Shipping",Y387="Invalid"),"Invalid",IF(OR(G387="Unknown",M387="Unknown"),"Warning","Clean"))</f>
        <v>Clean</v>
      </c>
    </row>
    <row r="388" spans="1:31">
      <c r="A388" t="s">
        <v>1260</v>
      </c>
      <c r="B388" s="3">
        <v>45993</v>
      </c>
      <c r="C388" s="3">
        <v>45702</v>
      </c>
      <c r="D388" t="s">
        <v>1261</v>
      </c>
      <c r="E388" t="s">
        <v>132</v>
      </c>
      <c r="F388" t="s">
        <v>24</v>
      </c>
      <c r="G388" t="s">
        <v>63</v>
      </c>
      <c r="H388" t="s">
        <v>64</v>
      </c>
      <c r="I388" t="s">
        <v>65</v>
      </c>
      <c r="J388" t="s">
        <v>41</v>
      </c>
      <c r="K388" t="s">
        <v>57</v>
      </c>
      <c r="L388" t="s">
        <v>1262</v>
      </c>
      <c r="M388" t="s">
        <v>31</v>
      </c>
      <c r="N388">
        <v>8</v>
      </c>
      <c r="O388">
        <v>2786.66</v>
      </c>
      <c r="P388">
        <v>0.1</v>
      </c>
      <c r="Q388">
        <v>20063.95</v>
      </c>
      <c r="R388">
        <v>14363.38</v>
      </c>
      <c r="S388">
        <v>5700.57</v>
      </c>
      <c r="T388" t="s">
        <v>32</v>
      </c>
      <c r="U388" t="s">
        <v>33</v>
      </c>
      <c r="V388">
        <f>IF(OR(B388="Invalid Date",C388="Invalid Date"),"Invalid Date",C388-B388)</f>
        <v>-291</v>
      </c>
      <c r="W388" s="4" t="str">
        <f>IF(OR(B388="Invalid Date",C388="Invalid Date"),"Invalid Date",IF(C388&lt;B388,"Invalid Shipping","OK"))</f>
        <v>Invalid Shipping</v>
      </c>
      <c r="X388">
        <f t="shared" si="48"/>
        <v>1</v>
      </c>
      <c r="Y388">
        <f t="shared" si="49"/>
        <v>0.1</v>
      </c>
      <c r="Z388">
        <f t="shared" si="50"/>
        <v>20063.952000000001</v>
      </c>
      <c r="AA388">
        <f t="shared" si="51"/>
        <v>5700.5720000000019</v>
      </c>
      <c r="AB388" s="6">
        <f t="shared" si="52"/>
        <v>0.2841200975759911</v>
      </c>
      <c r="AC388" t="str">
        <f t="shared" si="53"/>
        <v>December</v>
      </c>
      <c r="AD388">
        <f t="shared" si="54"/>
        <v>2025</v>
      </c>
      <c r="AE388" t="str">
        <f t="shared" si="55"/>
        <v>Invalid</v>
      </c>
    </row>
    <row r="389" spans="1:31">
      <c r="A389" t="s">
        <v>1263</v>
      </c>
      <c r="B389" s="3">
        <v>45879</v>
      </c>
      <c r="C389" s="3" t="s">
        <v>2763</v>
      </c>
      <c r="D389" t="s">
        <v>1264</v>
      </c>
      <c r="E389" t="s">
        <v>114</v>
      </c>
      <c r="F389" t="s">
        <v>37</v>
      </c>
      <c r="G389" t="s">
        <v>63</v>
      </c>
      <c r="H389" t="s">
        <v>72</v>
      </c>
      <c r="I389" t="s">
        <v>73</v>
      </c>
      <c r="J389" t="s">
        <v>41</v>
      </c>
      <c r="K389" t="s">
        <v>66</v>
      </c>
      <c r="L389" t="s">
        <v>1265</v>
      </c>
      <c r="M389" t="s">
        <v>59</v>
      </c>
      <c r="N389">
        <v>5</v>
      </c>
      <c r="O389">
        <v>352.86</v>
      </c>
      <c r="P389">
        <v>0</v>
      </c>
      <c r="Q389">
        <v>1764.3</v>
      </c>
      <c r="R389">
        <v>1332.49</v>
      </c>
      <c r="S389">
        <v>431.81</v>
      </c>
      <c r="T389" t="s">
        <v>111</v>
      </c>
      <c r="U389" t="s">
        <v>68</v>
      </c>
      <c r="V389" t="str">
        <f>IF(OR(B389="Invalid Date",C389="Invalid Date"),"Invalid Date",C389-B389)</f>
        <v>Invalid Date</v>
      </c>
      <c r="W389" s="4" t="str">
        <f>IF(OR(B389="Invalid Date",C389="Invalid Date"),"Invalid Date",IF(C389&lt;B389,"Invalid Shipping","OK"))</f>
        <v>Invalid Date</v>
      </c>
      <c r="X389">
        <f t="shared" si="48"/>
        <v>1</v>
      </c>
      <c r="Y389">
        <f t="shared" si="49"/>
        <v>0</v>
      </c>
      <c r="Z389">
        <f t="shared" si="50"/>
        <v>1764.3000000000002</v>
      </c>
      <c r="AA389">
        <f t="shared" si="51"/>
        <v>431.81000000000017</v>
      </c>
      <c r="AB389" s="6">
        <f t="shared" si="52"/>
        <v>0.24474862551720236</v>
      </c>
      <c r="AC389" t="str">
        <f t="shared" si="53"/>
        <v>August</v>
      </c>
      <c r="AD389">
        <f t="shared" si="54"/>
        <v>2025</v>
      </c>
      <c r="AE389" t="str">
        <f t="shared" si="55"/>
        <v>Invalid</v>
      </c>
    </row>
    <row r="390" spans="1:31">
      <c r="A390" t="s">
        <v>1266</v>
      </c>
      <c r="B390" s="3">
        <v>45425</v>
      </c>
      <c r="C390" s="3">
        <v>45430</v>
      </c>
      <c r="D390" t="s">
        <v>1267</v>
      </c>
      <c r="E390" t="s">
        <v>47</v>
      </c>
      <c r="F390" t="s">
        <v>37</v>
      </c>
      <c r="G390" t="s">
        <v>63</v>
      </c>
      <c r="H390" t="s">
        <v>180</v>
      </c>
      <c r="I390" t="s">
        <v>181</v>
      </c>
      <c r="J390" t="s">
        <v>41</v>
      </c>
      <c r="K390" t="s">
        <v>66</v>
      </c>
      <c r="L390" t="s">
        <v>1268</v>
      </c>
      <c r="M390" t="s">
        <v>59</v>
      </c>
      <c r="N390">
        <v>3</v>
      </c>
      <c r="O390">
        <v>3128.59</v>
      </c>
      <c r="P390">
        <v>0</v>
      </c>
      <c r="Q390">
        <v>9385.77</v>
      </c>
      <c r="R390">
        <v>6872.44</v>
      </c>
      <c r="S390">
        <v>2783.66</v>
      </c>
      <c r="T390" t="s">
        <v>32</v>
      </c>
      <c r="U390" t="s">
        <v>33</v>
      </c>
      <c r="V390">
        <f>IF(OR(B390="Invalid Date",C390="Invalid Date"),"Invalid Date",C390-B390)</f>
        <v>5</v>
      </c>
      <c r="W390" s="4" t="str">
        <f>IF(OR(B390="Invalid Date",C390="Invalid Date"),"Invalid Date",IF(C390&lt;B390,"Invalid Shipping","OK"))</f>
        <v>OK</v>
      </c>
      <c r="X390">
        <f t="shared" si="48"/>
        <v>1</v>
      </c>
      <c r="Y390">
        <f t="shared" si="49"/>
        <v>0</v>
      </c>
      <c r="Z390">
        <f t="shared" si="50"/>
        <v>9385.77</v>
      </c>
      <c r="AA390">
        <f t="shared" si="51"/>
        <v>2513.3300000000008</v>
      </c>
      <c r="AB390" s="6">
        <f t="shared" si="52"/>
        <v>0.26778090662779941</v>
      </c>
      <c r="AC390" t="str">
        <f t="shared" si="53"/>
        <v>May</v>
      </c>
      <c r="AD390">
        <f t="shared" si="54"/>
        <v>2024</v>
      </c>
      <c r="AE390" t="str">
        <f t="shared" si="55"/>
        <v>Clean</v>
      </c>
    </row>
    <row r="391" spans="1:31">
      <c r="A391" t="s">
        <v>1269</v>
      </c>
      <c r="B391" s="3">
        <v>45387</v>
      </c>
      <c r="C391" s="3">
        <v>45395</v>
      </c>
      <c r="D391" t="s">
        <v>1270</v>
      </c>
      <c r="E391" t="s">
        <v>162</v>
      </c>
      <c r="F391" t="s">
        <v>90</v>
      </c>
      <c r="G391" t="s">
        <v>63</v>
      </c>
      <c r="H391" t="s">
        <v>180</v>
      </c>
      <c r="I391" t="s">
        <v>181</v>
      </c>
      <c r="J391" t="s">
        <v>74</v>
      </c>
      <c r="K391" t="s">
        <v>274</v>
      </c>
      <c r="L391" t="s">
        <v>1271</v>
      </c>
      <c r="M391" t="s">
        <v>31</v>
      </c>
      <c r="N391">
        <v>5</v>
      </c>
      <c r="O391">
        <v>1937.54</v>
      </c>
      <c r="P391">
        <v>0.2</v>
      </c>
      <c r="Q391">
        <v>7750.16</v>
      </c>
      <c r="R391">
        <v>5434.3</v>
      </c>
      <c r="S391">
        <v>2315.86</v>
      </c>
      <c r="T391" t="s">
        <v>111</v>
      </c>
      <c r="U391" t="s">
        <v>68</v>
      </c>
      <c r="V391">
        <f>IF(OR(B391="Invalid Date",C391="Invalid Date"),"Invalid Date",C391-B391)</f>
        <v>8</v>
      </c>
      <c r="W391" s="4" t="str">
        <f>IF(OR(B391="Invalid Date",C391="Invalid Date"),"Invalid Date",IF(C391&lt;B391,"Invalid Shipping","OK"))</f>
        <v>OK</v>
      </c>
      <c r="X391">
        <f t="shared" si="48"/>
        <v>1</v>
      </c>
      <c r="Y391">
        <f t="shared" si="49"/>
        <v>0.2</v>
      </c>
      <c r="Z391">
        <f t="shared" si="50"/>
        <v>7750.1600000000008</v>
      </c>
      <c r="AA391">
        <f t="shared" si="51"/>
        <v>2315.8600000000006</v>
      </c>
      <c r="AB391" s="6">
        <f t="shared" si="52"/>
        <v>0.29881447608823564</v>
      </c>
      <c r="AC391" t="str">
        <f t="shared" si="53"/>
        <v>April</v>
      </c>
      <c r="AD391">
        <f t="shared" si="54"/>
        <v>2024</v>
      </c>
      <c r="AE391" t="str">
        <f t="shared" si="55"/>
        <v>Clean</v>
      </c>
    </row>
    <row r="392" spans="1:31">
      <c r="A392" t="s">
        <v>1272</v>
      </c>
      <c r="B392" s="3">
        <v>45602</v>
      </c>
      <c r="C392" s="3">
        <v>45607</v>
      </c>
      <c r="D392" t="s">
        <v>1273</v>
      </c>
      <c r="E392" t="s">
        <v>47</v>
      </c>
      <c r="F392" t="s">
        <v>24</v>
      </c>
      <c r="G392" t="s">
        <v>63</v>
      </c>
      <c r="H392" t="s">
        <v>180</v>
      </c>
      <c r="I392" t="s">
        <v>181</v>
      </c>
      <c r="J392" t="s">
        <v>41</v>
      </c>
      <c r="K392" t="s">
        <v>57</v>
      </c>
      <c r="L392" t="s">
        <v>1274</v>
      </c>
      <c r="M392" t="s">
        <v>59</v>
      </c>
      <c r="N392">
        <v>4</v>
      </c>
      <c r="O392">
        <v>1917.26</v>
      </c>
      <c r="P392">
        <v>0.2</v>
      </c>
      <c r="Q392">
        <v>6135.23</v>
      </c>
      <c r="R392">
        <v>3439.79</v>
      </c>
      <c r="S392">
        <v>2695.44</v>
      </c>
      <c r="T392" t="s">
        <v>32</v>
      </c>
      <c r="U392" t="s">
        <v>33</v>
      </c>
      <c r="V392">
        <f>IF(OR(B392="Invalid Date",C392="Invalid Date"),"Invalid Date",C392-B392)</f>
        <v>5</v>
      </c>
      <c r="W392" s="4" t="str">
        <f>IF(OR(B392="Invalid Date",C392="Invalid Date"),"Invalid Date",IF(C392&lt;B392,"Invalid Shipping","OK"))</f>
        <v>OK</v>
      </c>
      <c r="X392">
        <f t="shared" si="48"/>
        <v>1</v>
      </c>
      <c r="Y392">
        <f t="shared" si="49"/>
        <v>0.2</v>
      </c>
      <c r="Z392">
        <f t="shared" si="50"/>
        <v>6135.232</v>
      </c>
      <c r="AA392">
        <f t="shared" si="51"/>
        <v>2695.442</v>
      </c>
      <c r="AB392" s="6">
        <f t="shared" si="52"/>
        <v>0.43933823529411764</v>
      </c>
      <c r="AC392" t="str">
        <f t="shared" si="53"/>
        <v>November</v>
      </c>
      <c r="AD392">
        <f t="shared" si="54"/>
        <v>2024</v>
      </c>
      <c r="AE392" t="str">
        <f t="shared" si="55"/>
        <v>Clean</v>
      </c>
    </row>
    <row r="393" spans="1:31">
      <c r="A393" t="s">
        <v>1275</v>
      </c>
      <c r="B393" s="3">
        <v>45702</v>
      </c>
      <c r="C393" s="3">
        <v>45702</v>
      </c>
      <c r="D393" t="s">
        <v>1276</v>
      </c>
      <c r="E393" t="s">
        <v>162</v>
      </c>
      <c r="F393" t="s">
        <v>24</v>
      </c>
      <c r="G393" t="s">
        <v>54</v>
      </c>
      <c r="H393" t="s">
        <v>175</v>
      </c>
      <c r="I393" t="s">
        <v>176</v>
      </c>
      <c r="J393" t="s">
        <v>28</v>
      </c>
      <c r="K393" t="s">
        <v>124</v>
      </c>
      <c r="L393" t="s">
        <v>1277</v>
      </c>
      <c r="M393" t="s">
        <v>50</v>
      </c>
      <c r="N393">
        <v>1</v>
      </c>
      <c r="O393">
        <v>714.43</v>
      </c>
      <c r="P393">
        <v>0</v>
      </c>
      <c r="Q393">
        <v>714.43</v>
      </c>
      <c r="R393">
        <v>565.44000000000005</v>
      </c>
      <c r="S393">
        <v>148.99</v>
      </c>
      <c r="T393" t="s">
        <v>32</v>
      </c>
      <c r="U393" t="s">
        <v>33</v>
      </c>
      <c r="V393">
        <f>IF(OR(B393="Invalid Date",C393="Invalid Date"),"Invalid Date",C393-B393)</f>
        <v>0</v>
      </c>
      <c r="W393" s="4" t="str">
        <f>IF(OR(B393="Invalid Date",C393="Invalid Date"),"Invalid Date",IF(C393&lt;B393,"Invalid Shipping","OK"))</f>
        <v>OK</v>
      </c>
      <c r="X393">
        <f t="shared" si="48"/>
        <v>1</v>
      </c>
      <c r="Y393">
        <f t="shared" si="49"/>
        <v>0</v>
      </c>
      <c r="Z393">
        <f t="shared" si="50"/>
        <v>714.43</v>
      </c>
      <c r="AA393">
        <f t="shared" si="51"/>
        <v>148.9899999999999</v>
      </c>
      <c r="AB393" s="6">
        <f t="shared" si="52"/>
        <v>0.20854387413742412</v>
      </c>
      <c r="AC393" t="str">
        <f t="shared" si="53"/>
        <v>February</v>
      </c>
      <c r="AD393">
        <f t="shared" si="54"/>
        <v>2025</v>
      </c>
      <c r="AE393" t="str">
        <f t="shared" si="55"/>
        <v>Clean</v>
      </c>
    </row>
    <row r="394" spans="1:31">
      <c r="A394" t="s">
        <v>1278</v>
      </c>
      <c r="B394" s="3" t="s">
        <v>2763</v>
      </c>
      <c r="C394" s="3">
        <v>45344</v>
      </c>
      <c r="D394" t="s">
        <v>1279</v>
      </c>
      <c r="E394" t="s">
        <v>89</v>
      </c>
      <c r="F394" t="s">
        <v>37</v>
      </c>
      <c r="G394" t="s">
        <v>54</v>
      </c>
      <c r="H394" t="s">
        <v>185</v>
      </c>
      <c r="I394" t="s">
        <v>186</v>
      </c>
      <c r="J394" t="s">
        <v>41</v>
      </c>
      <c r="K394" t="s">
        <v>57</v>
      </c>
      <c r="L394" t="s">
        <v>1280</v>
      </c>
      <c r="M394" t="s">
        <v>44</v>
      </c>
      <c r="N394">
        <v>9</v>
      </c>
      <c r="O394">
        <v>4053.01</v>
      </c>
      <c r="P394">
        <v>0</v>
      </c>
      <c r="Q394">
        <v>36477.089999999997</v>
      </c>
      <c r="R394">
        <v>24525.48</v>
      </c>
      <c r="S394">
        <v>11951.61</v>
      </c>
      <c r="T394" t="s">
        <v>32</v>
      </c>
      <c r="U394" t="s">
        <v>33</v>
      </c>
      <c r="V394" t="str">
        <f>IF(OR(B394="Invalid Date",C394="Invalid Date"),"Invalid Date",C394-B394)</f>
        <v>Invalid Date</v>
      </c>
      <c r="W394" s="4" t="str">
        <f>IF(OR(B394="Invalid Date",C394="Invalid Date"),"Invalid Date",IF(C394&lt;B394,"Invalid Shipping","OK"))</f>
        <v>Invalid Date</v>
      </c>
      <c r="X394">
        <f t="shared" si="48"/>
        <v>1</v>
      </c>
      <c r="Y394">
        <f t="shared" si="49"/>
        <v>0</v>
      </c>
      <c r="Z394">
        <f t="shared" si="50"/>
        <v>36477.090000000004</v>
      </c>
      <c r="AA394">
        <f t="shared" si="51"/>
        <v>11951.610000000004</v>
      </c>
      <c r="AB394" s="6">
        <f t="shared" si="52"/>
        <v>0.32764702447481425</v>
      </c>
      <c r="AC394" t="str">
        <f t="shared" si="53"/>
        <v/>
      </c>
      <c r="AD394" t="str">
        <f t="shared" si="54"/>
        <v/>
      </c>
      <c r="AE394" t="str">
        <f t="shared" si="55"/>
        <v>Invalid</v>
      </c>
    </row>
    <row r="395" spans="1:31">
      <c r="A395" t="s">
        <v>1281</v>
      </c>
      <c r="B395" s="3">
        <v>45527</v>
      </c>
      <c r="C395" s="3" t="s">
        <v>2763</v>
      </c>
      <c r="D395" t="s">
        <v>1282</v>
      </c>
      <c r="E395" t="s">
        <v>36</v>
      </c>
      <c r="F395" t="s">
        <v>90</v>
      </c>
      <c r="G395" t="s">
        <v>25</v>
      </c>
      <c r="H395" t="s">
        <v>136</v>
      </c>
      <c r="I395" t="s">
        <v>137</v>
      </c>
      <c r="J395" t="s">
        <v>28</v>
      </c>
      <c r="K395" t="s">
        <v>91</v>
      </c>
      <c r="L395" t="s">
        <v>1283</v>
      </c>
      <c r="M395" t="s">
        <v>44</v>
      </c>
      <c r="N395">
        <v>2</v>
      </c>
      <c r="O395">
        <v>1936.91</v>
      </c>
      <c r="P395">
        <v>0.05</v>
      </c>
      <c r="Q395">
        <v>3680.13</v>
      </c>
      <c r="R395">
        <v>2967.46</v>
      </c>
      <c r="S395">
        <v>712.67</v>
      </c>
      <c r="T395" t="s">
        <v>32</v>
      </c>
      <c r="U395" t="s">
        <v>33</v>
      </c>
      <c r="V395" t="str">
        <f>IF(OR(B395="Invalid Date",C395="Invalid Date"),"Invalid Date",C395-B395)</f>
        <v>Invalid Date</v>
      </c>
      <c r="W395" s="4" t="str">
        <f>IF(OR(B395="Invalid Date",C395="Invalid Date"),"Invalid Date",IF(C395&lt;B395,"Invalid Shipping","OK"))</f>
        <v>Invalid Date</v>
      </c>
      <c r="X395">
        <f t="shared" si="48"/>
        <v>1</v>
      </c>
      <c r="Y395">
        <f t="shared" si="49"/>
        <v>0.05</v>
      </c>
      <c r="Z395">
        <f t="shared" si="50"/>
        <v>3680.1289999999999</v>
      </c>
      <c r="AA395">
        <f t="shared" si="51"/>
        <v>712.66899999999987</v>
      </c>
      <c r="AB395" s="6">
        <f t="shared" si="52"/>
        <v>0.19365326595888346</v>
      </c>
      <c r="AC395" t="str">
        <f t="shared" si="53"/>
        <v>August</v>
      </c>
      <c r="AD395">
        <f t="shared" si="54"/>
        <v>2024</v>
      </c>
      <c r="AE395" t="str">
        <f t="shared" si="55"/>
        <v>Invalid</v>
      </c>
    </row>
    <row r="396" spans="1:31">
      <c r="A396" t="s">
        <v>1284</v>
      </c>
      <c r="B396" s="3">
        <v>45385</v>
      </c>
      <c r="C396" s="3">
        <v>45386</v>
      </c>
      <c r="D396" t="s">
        <v>1285</v>
      </c>
      <c r="E396" t="s">
        <v>264</v>
      </c>
      <c r="F396" t="s">
        <v>24</v>
      </c>
      <c r="G396" t="s">
        <v>63</v>
      </c>
      <c r="H396" t="s">
        <v>64</v>
      </c>
      <c r="I396" t="s">
        <v>65</v>
      </c>
      <c r="J396" t="s">
        <v>41</v>
      </c>
      <c r="K396" t="s">
        <v>57</v>
      </c>
      <c r="L396" t="s">
        <v>1286</v>
      </c>
      <c r="M396" t="s">
        <v>50</v>
      </c>
      <c r="N396">
        <v>7</v>
      </c>
      <c r="O396">
        <v>3945.21</v>
      </c>
      <c r="P396">
        <v>0</v>
      </c>
      <c r="Q396">
        <v>27616.47</v>
      </c>
      <c r="R396">
        <v>21225.26</v>
      </c>
      <c r="S396">
        <v>6391.21</v>
      </c>
      <c r="T396" t="s">
        <v>32</v>
      </c>
      <c r="U396" t="s">
        <v>33</v>
      </c>
      <c r="V396">
        <f>IF(OR(B396="Invalid Date",C396="Invalid Date"),"Invalid Date",C396-B396)</f>
        <v>1</v>
      </c>
      <c r="W396" s="4" t="str">
        <f>IF(OR(B396="Invalid Date",C396="Invalid Date"),"Invalid Date",IF(C396&lt;B396,"Invalid Shipping","OK"))</f>
        <v>OK</v>
      </c>
      <c r="X396">
        <f t="shared" si="48"/>
        <v>1</v>
      </c>
      <c r="Y396">
        <f t="shared" si="49"/>
        <v>0</v>
      </c>
      <c r="Z396">
        <f t="shared" si="50"/>
        <v>27616.47</v>
      </c>
      <c r="AA396">
        <f t="shared" si="51"/>
        <v>6391.2100000000028</v>
      </c>
      <c r="AB396" s="6">
        <f t="shared" si="52"/>
        <v>0.23142747787823725</v>
      </c>
      <c r="AC396" t="str">
        <f t="shared" si="53"/>
        <v>April</v>
      </c>
      <c r="AD396">
        <f t="shared" si="54"/>
        <v>2024</v>
      </c>
      <c r="AE396" t="str">
        <f t="shared" si="55"/>
        <v>Clean</v>
      </c>
    </row>
    <row r="397" spans="1:31">
      <c r="A397" t="s">
        <v>1287</v>
      </c>
      <c r="B397" s="3">
        <v>45449</v>
      </c>
      <c r="C397" s="3">
        <v>45479</v>
      </c>
      <c r="D397" t="s">
        <v>1288</v>
      </c>
      <c r="E397" t="s">
        <v>118</v>
      </c>
      <c r="F397" t="s">
        <v>95</v>
      </c>
      <c r="G397" t="s">
        <v>54</v>
      </c>
      <c r="H397" t="s">
        <v>247</v>
      </c>
      <c r="I397" t="s">
        <v>248</v>
      </c>
      <c r="J397" t="s">
        <v>41</v>
      </c>
      <c r="K397" t="s">
        <v>42</v>
      </c>
      <c r="L397" t="s">
        <v>1289</v>
      </c>
      <c r="M397" t="s">
        <v>44</v>
      </c>
      <c r="N397">
        <v>7</v>
      </c>
      <c r="O397">
        <v>861.91</v>
      </c>
      <c r="P397">
        <v>0.05</v>
      </c>
      <c r="Q397">
        <v>5731.7</v>
      </c>
      <c r="R397">
        <v>4115.5600000000004</v>
      </c>
      <c r="S397">
        <v>1616.14</v>
      </c>
      <c r="T397" t="s">
        <v>32</v>
      </c>
      <c r="U397" t="s">
        <v>33</v>
      </c>
      <c r="V397">
        <f>IF(OR(B397="Invalid Date",C397="Invalid Date"),"Invalid Date",C397-B397)</f>
        <v>30</v>
      </c>
      <c r="W397" s="4" t="str">
        <f>IF(OR(B397="Invalid Date",C397="Invalid Date"),"Invalid Date",IF(C397&lt;B397,"Invalid Shipping","OK"))</f>
        <v>OK</v>
      </c>
      <c r="X397">
        <f t="shared" si="48"/>
        <v>1</v>
      </c>
      <c r="Y397">
        <f t="shared" si="49"/>
        <v>0.05</v>
      </c>
      <c r="Z397">
        <f t="shared" si="50"/>
        <v>5731.7014999999992</v>
      </c>
      <c r="AA397">
        <f t="shared" si="51"/>
        <v>1616.1414999999988</v>
      </c>
      <c r="AB397" s="6">
        <f t="shared" si="52"/>
        <v>0.28196539893084088</v>
      </c>
      <c r="AC397" t="str">
        <f t="shared" si="53"/>
        <v>June</v>
      </c>
      <c r="AD397">
        <f t="shared" si="54"/>
        <v>2024</v>
      </c>
      <c r="AE397" t="str">
        <f t="shared" si="55"/>
        <v>Clean</v>
      </c>
    </row>
    <row r="398" spans="1:31">
      <c r="A398" t="s">
        <v>1290</v>
      </c>
      <c r="B398" s="3">
        <v>45761</v>
      </c>
      <c r="C398" s="3">
        <v>45769</v>
      </c>
      <c r="D398" t="s">
        <v>1291</v>
      </c>
      <c r="E398" t="s">
        <v>89</v>
      </c>
      <c r="F398" t="s">
        <v>37</v>
      </c>
      <c r="G398" t="s">
        <v>54</v>
      </c>
      <c r="H398" t="s">
        <v>175</v>
      </c>
      <c r="I398" t="s">
        <v>176</v>
      </c>
      <c r="J398" t="s">
        <v>74</v>
      </c>
      <c r="K398" t="s">
        <v>274</v>
      </c>
      <c r="L398" t="s">
        <v>1292</v>
      </c>
      <c r="M398" t="s">
        <v>59</v>
      </c>
      <c r="N398">
        <v>2</v>
      </c>
      <c r="O398">
        <v>638.73</v>
      </c>
      <c r="P398">
        <v>0.05</v>
      </c>
      <c r="Q398">
        <v>1213.5899999999999</v>
      </c>
      <c r="R398">
        <v>956.22</v>
      </c>
      <c r="S398">
        <v>257.37</v>
      </c>
      <c r="T398" t="s">
        <v>32</v>
      </c>
      <c r="U398" t="s">
        <v>33</v>
      </c>
      <c r="V398">
        <f>IF(OR(B398="Invalid Date",C398="Invalid Date"),"Invalid Date",C398-B398)</f>
        <v>8</v>
      </c>
      <c r="W398" s="4" t="str">
        <f>IF(OR(B398="Invalid Date",C398="Invalid Date"),"Invalid Date",IF(C398&lt;B398,"Invalid Shipping","OK"))</f>
        <v>OK</v>
      </c>
      <c r="X398">
        <f t="shared" si="48"/>
        <v>1</v>
      </c>
      <c r="Y398">
        <f t="shared" si="49"/>
        <v>0.05</v>
      </c>
      <c r="Z398">
        <f t="shared" si="50"/>
        <v>1213.587</v>
      </c>
      <c r="AA398">
        <f t="shared" si="51"/>
        <v>257.36699999999996</v>
      </c>
      <c r="AB398" s="6">
        <f t="shared" si="52"/>
        <v>0.21207132245154239</v>
      </c>
      <c r="AC398" t="str">
        <f t="shared" si="53"/>
        <v>April</v>
      </c>
      <c r="AD398">
        <f t="shared" si="54"/>
        <v>2025</v>
      </c>
      <c r="AE398" t="str">
        <f t="shared" si="55"/>
        <v>Clean</v>
      </c>
    </row>
    <row r="399" spans="1:31">
      <c r="A399" t="s">
        <v>1293</v>
      </c>
      <c r="B399" s="3">
        <v>45817</v>
      </c>
      <c r="C399" s="3">
        <v>45818</v>
      </c>
      <c r="D399" t="s">
        <v>1294</v>
      </c>
      <c r="E399" t="s">
        <v>132</v>
      </c>
      <c r="F399" t="s">
        <v>37</v>
      </c>
      <c r="G399" t="s">
        <v>25</v>
      </c>
      <c r="H399" t="s">
        <v>136</v>
      </c>
      <c r="I399" t="s">
        <v>137</v>
      </c>
      <c r="J399" t="s">
        <v>41</v>
      </c>
      <c r="K399" t="s">
        <v>42</v>
      </c>
      <c r="L399" t="s">
        <v>1295</v>
      </c>
      <c r="M399" t="s">
        <v>31</v>
      </c>
      <c r="N399">
        <v>2</v>
      </c>
      <c r="O399">
        <v>1731.88</v>
      </c>
      <c r="P399">
        <v>0</v>
      </c>
      <c r="Q399">
        <v>3463.76</v>
      </c>
      <c r="R399">
        <v>2143.7399999999998</v>
      </c>
      <c r="S399">
        <v>1320.02</v>
      </c>
      <c r="T399" t="s">
        <v>32</v>
      </c>
      <c r="U399" t="s">
        <v>33</v>
      </c>
      <c r="V399">
        <f>IF(OR(B399="Invalid Date",C399="Invalid Date"),"Invalid Date",C399-B399)</f>
        <v>1</v>
      </c>
      <c r="W399" s="4" t="str">
        <f>IF(OR(B399="Invalid Date",C399="Invalid Date"),"Invalid Date",IF(C399&lt;B399,"Invalid Shipping","OK"))</f>
        <v>OK</v>
      </c>
      <c r="X399">
        <f t="shared" si="48"/>
        <v>1</v>
      </c>
      <c r="Y399">
        <f t="shared" si="49"/>
        <v>0</v>
      </c>
      <c r="Z399">
        <f t="shared" si="50"/>
        <v>3463.76</v>
      </c>
      <c r="AA399">
        <f t="shared" si="51"/>
        <v>1320.0200000000004</v>
      </c>
      <c r="AB399" s="6">
        <f t="shared" si="52"/>
        <v>0.38109453310852959</v>
      </c>
      <c r="AC399" t="str">
        <f t="shared" si="53"/>
        <v>June</v>
      </c>
      <c r="AD399">
        <f t="shared" si="54"/>
        <v>2025</v>
      </c>
      <c r="AE399" t="str">
        <f t="shared" si="55"/>
        <v>Clean</v>
      </c>
    </row>
    <row r="400" spans="1:31">
      <c r="A400" t="s">
        <v>1296</v>
      </c>
      <c r="B400" s="3">
        <v>45492</v>
      </c>
      <c r="C400" s="3">
        <v>45499</v>
      </c>
      <c r="D400" t="s">
        <v>1297</v>
      </c>
      <c r="E400" t="s">
        <v>71</v>
      </c>
      <c r="F400" t="s">
        <v>90</v>
      </c>
      <c r="G400" t="s">
        <v>25</v>
      </c>
      <c r="H400" t="s">
        <v>122</v>
      </c>
      <c r="I400" t="s">
        <v>123</v>
      </c>
      <c r="J400" t="s">
        <v>74</v>
      </c>
      <c r="K400" t="s">
        <v>274</v>
      </c>
      <c r="L400" t="s">
        <v>1298</v>
      </c>
      <c r="M400" t="s">
        <v>44</v>
      </c>
      <c r="N400">
        <v>2</v>
      </c>
      <c r="O400">
        <v>1263.6500000000001</v>
      </c>
      <c r="P400">
        <v>0.2</v>
      </c>
      <c r="Q400">
        <v>2021.84</v>
      </c>
      <c r="R400">
        <v>1355.22</v>
      </c>
      <c r="S400">
        <v>666.62</v>
      </c>
      <c r="T400" t="s">
        <v>32</v>
      </c>
      <c r="U400" t="s">
        <v>33</v>
      </c>
      <c r="V400">
        <f>IF(OR(B400="Invalid Date",C400="Invalid Date"),"Invalid Date",C400-B400)</f>
        <v>7</v>
      </c>
      <c r="W400" s="4" t="str">
        <f>IF(OR(B400="Invalid Date",C400="Invalid Date"),"Invalid Date",IF(C400&lt;B400,"Invalid Shipping","OK"))</f>
        <v>OK</v>
      </c>
      <c r="X400">
        <f t="shared" si="48"/>
        <v>1</v>
      </c>
      <c r="Y400">
        <f t="shared" si="49"/>
        <v>0.2</v>
      </c>
      <c r="Z400">
        <f t="shared" si="50"/>
        <v>2021.8400000000001</v>
      </c>
      <c r="AA400">
        <f t="shared" si="51"/>
        <v>666.62000000000012</v>
      </c>
      <c r="AB400" s="6">
        <f t="shared" si="52"/>
        <v>0.32970957147944452</v>
      </c>
      <c r="AC400" t="str">
        <f t="shared" si="53"/>
        <v>July</v>
      </c>
      <c r="AD400">
        <f t="shared" si="54"/>
        <v>2024</v>
      </c>
      <c r="AE400" t="str">
        <f t="shared" si="55"/>
        <v>Clean</v>
      </c>
    </row>
    <row r="401" spans="1:31">
      <c r="A401" t="s">
        <v>1299</v>
      </c>
      <c r="B401" s="3" t="s">
        <v>2763</v>
      </c>
      <c r="C401" s="3">
        <v>45776</v>
      </c>
      <c r="D401" t="s">
        <v>1300</v>
      </c>
      <c r="E401" t="s">
        <v>162</v>
      </c>
      <c r="F401" t="s">
        <v>37</v>
      </c>
      <c r="G401" t="s">
        <v>54</v>
      </c>
      <c r="H401" t="s">
        <v>84</v>
      </c>
      <c r="I401" t="s">
        <v>85</v>
      </c>
      <c r="J401" t="s">
        <v>28</v>
      </c>
      <c r="K401" t="s">
        <v>29</v>
      </c>
      <c r="L401" t="s">
        <v>1301</v>
      </c>
      <c r="M401" t="s">
        <v>44</v>
      </c>
      <c r="N401">
        <v>1</v>
      </c>
      <c r="O401">
        <v>4358.5</v>
      </c>
      <c r="P401">
        <v>0.25</v>
      </c>
      <c r="Q401">
        <v>3268.88</v>
      </c>
      <c r="R401">
        <v>1993.74</v>
      </c>
      <c r="S401">
        <v>1275.1400000000001</v>
      </c>
      <c r="T401" t="s">
        <v>32</v>
      </c>
      <c r="U401" t="s">
        <v>33</v>
      </c>
      <c r="V401" t="str">
        <f>IF(OR(B401="Invalid Date",C401="Invalid Date"),"Invalid Date",C401-B401)</f>
        <v>Invalid Date</v>
      </c>
      <c r="W401" s="4" t="str">
        <f>IF(OR(B401="Invalid Date",C401="Invalid Date"),"Invalid Date",IF(C401&lt;B401,"Invalid Shipping","OK"))</f>
        <v>Invalid Date</v>
      </c>
      <c r="X401">
        <f t="shared" si="48"/>
        <v>1</v>
      </c>
      <c r="Y401">
        <f t="shared" si="49"/>
        <v>0.25</v>
      </c>
      <c r="Z401">
        <f t="shared" si="50"/>
        <v>3268.875</v>
      </c>
      <c r="AA401">
        <f t="shared" si="51"/>
        <v>1275.135</v>
      </c>
      <c r="AB401" s="6">
        <f t="shared" si="52"/>
        <v>0.39008374440747962</v>
      </c>
      <c r="AC401" t="str">
        <f t="shared" si="53"/>
        <v/>
      </c>
      <c r="AD401" t="str">
        <f t="shared" si="54"/>
        <v/>
      </c>
      <c r="AE401" t="str">
        <f t="shared" si="55"/>
        <v>Invalid</v>
      </c>
    </row>
    <row r="402" spans="1:31">
      <c r="A402" t="s">
        <v>1302</v>
      </c>
      <c r="B402" s="3">
        <v>45814</v>
      </c>
      <c r="C402" s="3">
        <v>45819</v>
      </c>
      <c r="D402" t="s">
        <v>1303</v>
      </c>
      <c r="E402" t="s">
        <v>132</v>
      </c>
      <c r="F402" t="s">
        <v>37</v>
      </c>
      <c r="G402" t="s">
        <v>25</v>
      </c>
      <c r="H402" t="s">
        <v>136</v>
      </c>
      <c r="I402" t="s">
        <v>137</v>
      </c>
      <c r="J402" t="s">
        <v>28</v>
      </c>
      <c r="K402" t="s">
        <v>29</v>
      </c>
      <c r="L402" t="s">
        <v>1304</v>
      </c>
      <c r="M402" t="s">
        <v>44</v>
      </c>
      <c r="N402">
        <v>7</v>
      </c>
      <c r="O402">
        <v>878.09</v>
      </c>
      <c r="P402">
        <v>-0.1</v>
      </c>
      <c r="Q402">
        <v>5839.3</v>
      </c>
      <c r="R402">
        <v>4877.38</v>
      </c>
      <c r="S402">
        <v>961.92</v>
      </c>
      <c r="T402" t="s">
        <v>32</v>
      </c>
      <c r="U402" t="s">
        <v>33</v>
      </c>
      <c r="V402">
        <f>IF(OR(B402="Invalid Date",C402="Invalid Date"),"Invalid Date",C402-B402)</f>
        <v>5</v>
      </c>
      <c r="W402" s="4" t="str">
        <f>IF(OR(B402="Invalid Date",C402="Invalid Date"),"Invalid Date",IF(C402&lt;B402,"Invalid Shipping","OK"))</f>
        <v>OK</v>
      </c>
      <c r="X402">
        <f t="shared" si="48"/>
        <v>1</v>
      </c>
      <c r="Y402" t="str">
        <f t="shared" si="49"/>
        <v>Invalid</v>
      </c>
      <c r="Z402" t="str">
        <f t="shared" si="50"/>
        <v/>
      </c>
      <c r="AA402" t="str">
        <f t="shared" si="51"/>
        <v/>
      </c>
      <c r="AB402" s="6" t="str">
        <f t="shared" si="52"/>
        <v/>
      </c>
      <c r="AC402" t="str">
        <f t="shared" si="53"/>
        <v>June</v>
      </c>
      <c r="AD402">
        <f t="shared" si="54"/>
        <v>2025</v>
      </c>
      <c r="AE402" t="str">
        <f t="shared" si="55"/>
        <v>Invalid</v>
      </c>
    </row>
    <row r="403" spans="1:31">
      <c r="A403" t="s">
        <v>1305</v>
      </c>
      <c r="B403" s="3">
        <v>45725</v>
      </c>
      <c r="C403" s="3">
        <v>45732</v>
      </c>
      <c r="D403" t="s">
        <v>1306</v>
      </c>
      <c r="E403" t="s">
        <v>53</v>
      </c>
      <c r="F403" t="s">
        <v>37</v>
      </c>
      <c r="G403" t="s">
        <v>38</v>
      </c>
      <c r="H403" t="s">
        <v>228</v>
      </c>
      <c r="I403" t="s">
        <v>229</v>
      </c>
      <c r="J403" t="s">
        <v>41</v>
      </c>
      <c r="K403" t="s">
        <v>42</v>
      </c>
      <c r="L403" t="s">
        <v>1307</v>
      </c>
      <c r="M403" t="s">
        <v>44</v>
      </c>
      <c r="N403">
        <v>3</v>
      </c>
      <c r="O403">
        <v>2625.85</v>
      </c>
      <c r="P403">
        <v>0</v>
      </c>
      <c r="Q403">
        <v>7877.55</v>
      </c>
      <c r="R403">
        <v>5562.77</v>
      </c>
      <c r="S403">
        <v>2314.7800000000002</v>
      </c>
      <c r="T403" t="s">
        <v>32</v>
      </c>
      <c r="U403" t="s">
        <v>33</v>
      </c>
      <c r="V403">
        <f>IF(OR(B403="Invalid Date",C403="Invalid Date"),"Invalid Date",C403-B403)</f>
        <v>7</v>
      </c>
      <c r="W403" s="4" t="str">
        <f>IF(OR(B403="Invalid Date",C403="Invalid Date"),"Invalid Date",IF(C403&lt;B403,"Invalid Shipping","OK"))</f>
        <v>OK</v>
      </c>
      <c r="X403">
        <f t="shared" si="48"/>
        <v>1</v>
      </c>
      <c r="Y403">
        <f t="shared" si="49"/>
        <v>0</v>
      </c>
      <c r="Z403">
        <f t="shared" si="50"/>
        <v>7877.5499999999993</v>
      </c>
      <c r="AA403">
        <f t="shared" si="51"/>
        <v>2314.7799999999988</v>
      </c>
      <c r="AB403" s="6">
        <f t="shared" si="52"/>
        <v>0.29384516759652418</v>
      </c>
      <c r="AC403" t="str">
        <f t="shared" si="53"/>
        <v>March</v>
      </c>
      <c r="AD403">
        <f t="shared" si="54"/>
        <v>2025</v>
      </c>
      <c r="AE403" t="str">
        <f t="shared" si="55"/>
        <v>Clean</v>
      </c>
    </row>
    <row r="404" spans="1:31">
      <c r="A404" t="s">
        <v>1308</v>
      </c>
      <c r="B404" s="3">
        <v>45373</v>
      </c>
      <c r="C404" s="3" t="s">
        <v>2763</v>
      </c>
      <c r="D404" t="s">
        <v>1309</v>
      </c>
      <c r="E404" t="s">
        <v>114</v>
      </c>
      <c r="F404" t="s">
        <v>37</v>
      </c>
      <c r="G404" t="s">
        <v>54</v>
      </c>
      <c r="H404" t="s">
        <v>175</v>
      </c>
      <c r="I404" t="s">
        <v>176</v>
      </c>
      <c r="J404" t="s">
        <v>41</v>
      </c>
      <c r="K404" t="s">
        <v>42</v>
      </c>
      <c r="L404" t="s">
        <v>1310</v>
      </c>
      <c r="M404" t="s">
        <v>2767</v>
      </c>
      <c r="N404">
        <v>3</v>
      </c>
      <c r="O404">
        <v>1365.26</v>
      </c>
      <c r="P404">
        <v>0</v>
      </c>
      <c r="Q404">
        <v>4095.78</v>
      </c>
      <c r="R404">
        <v>2807.77</v>
      </c>
      <c r="S404">
        <v>1288.01</v>
      </c>
      <c r="T404" t="s">
        <v>32</v>
      </c>
      <c r="U404" t="s">
        <v>33</v>
      </c>
      <c r="V404" t="str">
        <f>IF(OR(B404="Invalid Date",C404="Invalid Date"),"Invalid Date",C404-B404)</f>
        <v>Invalid Date</v>
      </c>
      <c r="W404" s="4" t="str">
        <f>IF(OR(B404="Invalid Date",C404="Invalid Date"),"Invalid Date",IF(C404&lt;B404,"Invalid Shipping","OK"))</f>
        <v>Invalid Date</v>
      </c>
      <c r="X404">
        <f t="shared" si="48"/>
        <v>1</v>
      </c>
      <c r="Y404">
        <f t="shared" si="49"/>
        <v>0</v>
      </c>
      <c r="Z404">
        <f t="shared" si="50"/>
        <v>4095.7799999999997</v>
      </c>
      <c r="AA404">
        <f t="shared" si="51"/>
        <v>1288.0099999999998</v>
      </c>
      <c r="AB404" s="6">
        <f t="shared" si="52"/>
        <v>0.31447245701673426</v>
      </c>
      <c r="AC404" t="str">
        <f t="shared" si="53"/>
        <v>March</v>
      </c>
      <c r="AD404">
        <f t="shared" si="54"/>
        <v>2024</v>
      </c>
      <c r="AE404" t="str">
        <f t="shared" si="55"/>
        <v>Invalid</v>
      </c>
    </row>
    <row r="405" spans="1:31">
      <c r="A405" t="s">
        <v>1311</v>
      </c>
      <c r="B405" s="3" t="s">
        <v>2763</v>
      </c>
      <c r="C405" s="3">
        <v>45569</v>
      </c>
      <c r="D405" t="s">
        <v>1312</v>
      </c>
      <c r="E405" t="s">
        <v>53</v>
      </c>
      <c r="F405" t="s">
        <v>37</v>
      </c>
      <c r="G405" t="s">
        <v>54</v>
      </c>
      <c r="H405" t="s">
        <v>185</v>
      </c>
      <c r="I405" t="s">
        <v>186</v>
      </c>
      <c r="J405" t="s">
        <v>28</v>
      </c>
      <c r="K405" t="s">
        <v>29</v>
      </c>
      <c r="L405" t="s">
        <v>1313</v>
      </c>
      <c r="M405" t="s">
        <v>44</v>
      </c>
      <c r="N405">
        <v>5</v>
      </c>
      <c r="O405">
        <v>3512.25</v>
      </c>
      <c r="P405">
        <v>0.05</v>
      </c>
      <c r="Q405">
        <v>16683.189999999999</v>
      </c>
      <c r="R405">
        <v>10301.16</v>
      </c>
      <c r="S405">
        <v>6382.03</v>
      </c>
      <c r="T405" t="s">
        <v>32</v>
      </c>
      <c r="U405" t="s">
        <v>103</v>
      </c>
      <c r="V405" t="str">
        <f>IF(OR(B405="Invalid Date",C405="Invalid Date"),"Invalid Date",C405-B405)</f>
        <v>Invalid Date</v>
      </c>
      <c r="W405" s="4" t="str">
        <f>IF(OR(B405="Invalid Date",C405="Invalid Date"),"Invalid Date",IF(C405&lt;B405,"Invalid Shipping","OK"))</f>
        <v>Invalid Date</v>
      </c>
      <c r="X405">
        <f t="shared" si="48"/>
        <v>1</v>
      </c>
      <c r="Y405">
        <f t="shared" si="49"/>
        <v>0.05</v>
      </c>
      <c r="Z405">
        <f t="shared" si="50"/>
        <v>16683.1875</v>
      </c>
      <c r="AA405">
        <f t="shared" si="51"/>
        <v>6382.0275000000001</v>
      </c>
      <c r="AB405" s="6">
        <f t="shared" si="52"/>
        <v>0.38254245479168775</v>
      </c>
      <c r="AC405" t="str">
        <f t="shared" si="53"/>
        <v/>
      </c>
      <c r="AD405" t="str">
        <f t="shared" si="54"/>
        <v/>
      </c>
      <c r="AE405" t="str">
        <f t="shared" si="55"/>
        <v>Invalid</v>
      </c>
    </row>
    <row r="406" spans="1:31">
      <c r="A406" t="s">
        <v>1314</v>
      </c>
      <c r="B406" s="3">
        <v>45318</v>
      </c>
      <c r="C406" s="3">
        <v>45353</v>
      </c>
      <c r="D406" t="s">
        <v>1315</v>
      </c>
      <c r="E406" t="s">
        <v>89</v>
      </c>
      <c r="F406" t="s">
        <v>90</v>
      </c>
      <c r="G406" t="s">
        <v>63</v>
      </c>
      <c r="H406" t="s">
        <v>26</v>
      </c>
      <c r="I406" t="s">
        <v>109</v>
      </c>
      <c r="J406" t="s">
        <v>41</v>
      </c>
      <c r="K406" t="s">
        <v>66</v>
      </c>
      <c r="L406" t="s">
        <v>1316</v>
      </c>
      <c r="M406" t="s">
        <v>44</v>
      </c>
      <c r="N406">
        <v>3</v>
      </c>
      <c r="O406">
        <v>359.61</v>
      </c>
      <c r="P406">
        <v>0</v>
      </c>
      <c r="Q406">
        <v>1078.83</v>
      </c>
      <c r="R406">
        <v>926.35</v>
      </c>
      <c r="S406">
        <v>152.47999999999999</v>
      </c>
      <c r="T406" t="s">
        <v>32</v>
      </c>
      <c r="U406" t="s">
        <v>33</v>
      </c>
      <c r="V406">
        <f>IF(OR(B406="Invalid Date",C406="Invalid Date"),"Invalid Date",C406-B406)</f>
        <v>35</v>
      </c>
      <c r="W406" s="4" t="str">
        <f>IF(OR(B406="Invalid Date",C406="Invalid Date"),"Invalid Date",IF(C406&lt;B406,"Invalid Shipping","OK"))</f>
        <v>OK</v>
      </c>
      <c r="X406">
        <f t="shared" si="48"/>
        <v>1</v>
      </c>
      <c r="Y406">
        <f t="shared" si="49"/>
        <v>0</v>
      </c>
      <c r="Z406">
        <f t="shared" si="50"/>
        <v>1078.83</v>
      </c>
      <c r="AA406">
        <f t="shared" si="51"/>
        <v>152.4799999999999</v>
      </c>
      <c r="AB406" s="6">
        <f t="shared" si="52"/>
        <v>0.14133830167867034</v>
      </c>
      <c r="AC406" t="str">
        <f t="shared" si="53"/>
        <v>January</v>
      </c>
      <c r="AD406">
        <f t="shared" si="54"/>
        <v>2024</v>
      </c>
      <c r="AE406" t="str">
        <f t="shared" si="55"/>
        <v>Clean</v>
      </c>
    </row>
    <row r="407" spans="1:31">
      <c r="A407" t="s">
        <v>1317</v>
      </c>
      <c r="B407" s="3" t="s">
        <v>2763</v>
      </c>
      <c r="C407" s="3">
        <v>45559</v>
      </c>
      <c r="D407" t="s">
        <v>1318</v>
      </c>
      <c r="E407" t="s">
        <v>89</v>
      </c>
      <c r="F407" t="s">
        <v>95</v>
      </c>
      <c r="G407" t="s">
        <v>63</v>
      </c>
      <c r="H407" t="s">
        <v>180</v>
      </c>
      <c r="I407" t="s">
        <v>181</v>
      </c>
      <c r="J407" t="s">
        <v>41</v>
      </c>
      <c r="K407" t="s">
        <v>158</v>
      </c>
      <c r="L407" t="s">
        <v>1319</v>
      </c>
      <c r="M407" t="s">
        <v>2767</v>
      </c>
      <c r="N407">
        <v>7</v>
      </c>
      <c r="O407">
        <v>3878.01</v>
      </c>
      <c r="P407">
        <v>0.1</v>
      </c>
      <c r="Q407">
        <v>24431.46</v>
      </c>
      <c r="R407">
        <v>18202.36</v>
      </c>
      <c r="S407">
        <v>6229.1</v>
      </c>
      <c r="T407" t="s">
        <v>32</v>
      </c>
      <c r="U407" t="s">
        <v>33</v>
      </c>
      <c r="V407" t="str">
        <f>IF(OR(B407="Invalid Date",C407="Invalid Date"),"Invalid Date",C407-B407)</f>
        <v>Invalid Date</v>
      </c>
      <c r="W407" s="4" t="str">
        <f>IF(OR(B407="Invalid Date",C407="Invalid Date"),"Invalid Date",IF(C407&lt;B407,"Invalid Shipping","OK"))</f>
        <v>Invalid Date</v>
      </c>
      <c r="X407">
        <f t="shared" si="48"/>
        <v>1</v>
      </c>
      <c r="Y407">
        <f t="shared" si="49"/>
        <v>0.1</v>
      </c>
      <c r="Z407">
        <f t="shared" si="50"/>
        <v>24431.463</v>
      </c>
      <c r="AA407">
        <f t="shared" si="51"/>
        <v>6229.1029999999992</v>
      </c>
      <c r="AB407" s="6">
        <f t="shared" si="52"/>
        <v>0.25496234097810677</v>
      </c>
      <c r="AC407" t="str">
        <f t="shared" si="53"/>
        <v/>
      </c>
      <c r="AD407" t="str">
        <f t="shared" si="54"/>
        <v/>
      </c>
      <c r="AE407" t="str">
        <f t="shared" si="55"/>
        <v>Invalid</v>
      </c>
    </row>
    <row r="408" spans="1:31">
      <c r="A408" t="s">
        <v>1320</v>
      </c>
      <c r="B408" s="3">
        <v>45713</v>
      </c>
      <c r="C408" s="3">
        <v>45713</v>
      </c>
      <c r="D408" t="s">
        <v>1321</v>
      </c>
      <c r="E408" t="s">
        <v>264</v>
      </c>
      <c r="F408" t="s">
        <v>37</v>
      </c>
      <c r="G408" t="s">
        <v>63</v>
      </c>
      <c r="H408" t="s">
        <v>190</v>
      </c>
      <c r="I408" t="s">
        <v>191</v>
      </c>
      <c r="J408" t="s">
        <v>41</v>
      </c>
      <c r="K408" t="s">
        <v>57</v>
      </c>
      <c r="L408" t="s">
        <v>1322</v>
      </c>
      <c r="M408" t="s">
        <v>59</v>
      </c>
      <c r="N408">
        <v>2</v>
      </c>
      <c r="O408">
        <v>3924.2</v>
      </c>
      <c r="P408">
        <v>0.25</v>
      </c>
      <c r="Q408">
        <v>5886.3</v>
      </c>
      <c r="R408">
        <v>3621.76</v>
      </c>
      <c r="S408">
        <v>2264.54</v>
      </c>
      <c r="T408" t="s">
        <v>111</v>
      </c>
      <c r="U408" t="s">
        <v>103</v>
      </c>
      <c r="V408">
        <f>IF(OR(B408="Invalid Date",C408="Invalid Date"),"Invalid Date",C408-B408)</f>
        <v>0</v>
      </c>
      <c r="W408" s="4" t="str">
        <f>IF(OR(B408="Invalid Date",C408="Invalid Date"),"Invalid Date",IF(C408&lt;B408,"Invalid Shipping","OK"))</f>
        <v>OK</v>
      </c>
      <c r="X408">
        <f t="shared" si="48"/>
        <v>1</v>
      </c>
      <c r="Y408">
        <f t="shared" si="49"/>
        <v>0.25</v>
      </c>
      <c r="Z408">
        <f t="shared" si="50"/>
        <v>5886.2999999999993</v>
      </c>
      <c r="AA408">
        <f t="shared" si="51"/>
        <v>2264.5399999999991</v>
      </c>
      <c r="AB408" s="6">
        <f t="shared" si="52"/>
        <v>0.38471365713606159</v>
      </c>
      <c r="AC408" t="str">
        <f t="shared" si="53"/>
        <v>February</v>
      </c>
      <c r="AD408">
        <f t="shared" si="54"/>
        <v>2025</v>
      </c>
      <c r="AE408" t="str">
        <f t="shared" si="55"/>
        <v>Clean</v>
      </c>
    </row>
    <row r="409" spans="1:31">
      <c r="A409" t="s">
        <v>1323</v>
      </c>
      <c r="B409" s="3">
        <v>45424</v>
      </c>
      <c r="C409" s="3">
        <v>45425</v>
      </c>
      <c r="D409" t="s">
        <v>1324</v>
      </c>
      <c r="E409" t="s">
        <v>118</v>
      </c>
      <c r="F409" t="s">
        <v>90</v>
      </c>
      <c r="G409" t="s">
        <v>63</v>
      </c>
      <c r="H409" t="s">
        <v>190</v>
      </c>
      <c r="I409" t="s">
        <v>191</v>
      </c>
      <c r="J409" t="s">
        <v>28</v>
      </c>
      <c r="K409" t="s">
        <v>91</v>
      </c>
      <c r="L409" t="s">
        <v>1325</v>
      </c>
      <c r="M409" t="s">
        <v>31</v>
      </c>
      <c r="N409">
        <v>3</v>
      </c>
      <c r="O409">
        <v>2644.55</v>
      </c>
      <c r="P409">
        <v>0</v>
      </c>
      <c r="Q409">
        <v>7933.65</v>
      </c>
      <c r="R409">
        <v>5698.42</v>
      </c>
      <c r="S409">
        <v>2235.23</v>
      </c>
      <c r="T409" t="s">
        <v>32</v>
      </c>
      <c r="U409" t="s">
        <v>33</v>
      </c>
      <c r="V409">
        <f>IF(OR(B409="Invalid Date",C409="Invalid Date"),"Invalid Date",C409-B409)</f>
        <v>1</v>
      </c>
      <c r="W409" s="4" t="str">
        <f>IF(OR(B409="Invalid Date",C409="Invalid Date"),"Invalid Date",IF(C409&lt;B409,"Invalid Shipping","OK"))</f>
        <v>OK</v>
      </c>
      <c r="X409">
        <f t="shared" si="48"/>
        <v>1</v>
      </c>
      <c r="Y409">
        <f t="shared" si="49"/>
        <v>0</v>
      </c>
      <c r="Z409">
        <f t="shared" si="50"/>
        <v>7933.6500000000005</v>
      </c>
      <c r="AA409">
        <f t="shared" si="51"/>
        <v>2235.2300000000005</v>
      </c>
      <c r="AB409" s="6">
        <f t="shared" si="52"/>
        <v>0.2817404347305465</v>
      </c>
      <c r="AC409" t="str">
        <f t="shared" si="53"/>
        <v>May</v>
      </c>
      <c r="AD409">
        <f t="shared" si="54"/>
        <v>2024</v>
      </c>
      <c r="AE409" t="str">
        <f t="shared" si="55"/>
        <v>Clean</v>
      </c>
    </row>
    <row r="410" spans="1:31">
      <c r="A410" t="s">
        <v>1326</v>
      </c>
      <c r="B410" s="3">
        <v>45665</v>
      </c>
      <c r="C410" s="3">
        <v>45724</v>
      </c>
      <c r="D410" t="s">
        <v>1327</v>
      </c>
      <c r="E410" t="s">
        <v>132</v>
      </c>
      <c r="F410" t="s">
        <v>24</v>
      </c>
      <c r="G410" t="s">
        <v>63</v>
      </c>
      <c r="H410" t="s">
        <v>64</v>
      </c>
      <c r="I410" t="s">
        <v>65</v>
      </c>
      <c r="J410" t="s">
        <v>41</v>
      </c>
      <c r="K410" t="s">
        <v>66</v>
      </c>
      <c r="L410" t="s">
        <v>1328</v>
      </c>
      <c r="M410" t="s">
        <v>50</v>
      </c>
      <c r="N410">
        <v>4</v>
      </c>
      <c r="O410">
        <v>1773.46</v>
      </c>
      <c r="P410">
        <v>0</v>
      </c>
      <c r="Q410">
        <v>7093.84</v>
      </c>
      <c r="R410">
        <v>4587.49</v>
      </c>
      <c r="S410">
        <v>2506.35</v>
      </c>
      <c r="T410" t="s">
        <v>155</v>
      </c>
      <c r="U410" t="s">
        <v>103</v>
      </c>
      <c r="V410">
        <f>IF(OR(B410="Invalid Date",C410="Invalid Date"),"Invalid Date",C410-B410)</f>
        <v>59</v>
      </c>
      <c r="W410" s="4" t="str">
        <f>IF(OR(B410="Invalid Date",C410="Invalid Date"),"Invalid Date",IF(C410&lt;B410,"Invalid Shipping","OK"))</f>
        <v>OK</v>
      </c>
      <c r="X410">
        <f t="shared" si="48"/>
        <v>1</v>
      </c>
      <c r="Y410">
        <f t="shared" si="49"/>
        <v>0</v>
      </c>
      <c r="Z410">
        <f t="shared" si="50"/>
        <v>7093.84</v>
      </c>
      <c r="AA410">
        <f t="shared" si="51"/>
        <v>2506.3500000000004</v>
      </c>
      <c r="AB410" s="6">
        <f t="shared" si="52"/>
        <v>0.35331357910525191</v>
      </c>
      <c r="AC410" t="str">
        <f t="shared" si="53"/>
        <v>January</v>
      </c>
      <c r="AD410">
        <f t="shared" si="54"/>
        <v>2025</v>
      </c>
      <c r="AE410" t="str">
        <f t="shared" si="55"/>
        <v>Clean</v>
      </c>
    </row>
    <row r="411" spans="1:31">
      <c r="A411" t="s">
        <v>1329</v>
      </c>
      <c r="B411" s="3">
        <v>45701</v>
      </c>
      <c r="C411" s="3">
        <v>45703</v>
      </c>
      <c r="D411" t="s">
        <v>1330</v>
      </c>
      <c r="E411" t="s">
        <v>23</v>
      </c>
      <c r="F411" t="s">
        <v>24</v>
      </c>
      <c r="G411" t="s">
        <v>38</v>
      </c>
      <c r="H411" t="s">
        <v>166</v>
      </c>
      <c r="I411" t="s">
        <v>167</v>
      </c>
      <c r="J411" t="s">
        <v>74</v>
      </c>
      <c r="K411" t="s">
        <v>75</v>
      </c>
      <c r="L411" t="s">
        <v>1331</v>
      </c>
      <c r="M411" t="s">
        <v>44</v>
      </c>
      <c r="N411">
        <v>1</v>
      </c>
      <c r="O411">
        <v>3025.46</v>
      </c>
      <c r="P411">
        <v>0.25</v>
      </c>
      <c r="Q411">
        <v>2269.1</v>
      </c>
      <c r="R411">
        <v>1593.59</v>
      </c>
      <c r="S411">
        <v>675.51</v>
      </c>
      <c r="T411" t="s">
        <v>102</v>
      </c>
      <c r="U411" t="s">
        <v>103</v>
      </c>
      <c r="V411">
        <f>IF(OR(B411="Invalid Date",C411="Invalid Date"),"Invalid Date",C411-B411)</f>
        <v>2</v>
      </c>
      <c r="W411" s="4" t="str">
        <f>IF(OR(B411="Invalid Date",C411="Invalid Date"),"Invalid Date",IF(C411&lt;B411,"Invalid Shipping","OK"))</f>
        <v>OK</v>
      </c>
      <c r="X411">
        <f t="shared" si="48"/>
        <v>1</v>
      </c>
      <c r="Y411">
        <f t="shared" si="49"/>
        <v>0.25</v>
      </c>
      <c r="Z411">
        <f t="shared" si="50"/>
        <v>2269.0950000000003</v>
      </c>
      <c r="AA411">
        <f t="shared" si="51"/>
        <v>675.50500000000034</v>
      </c>
      <c r="AB411" s="6">
        <f t="shared" si="52"/>
        <v>0.29769798091309541</v>
      </c>
      <c r="AC411" t="str">
        <f t="shared" si="53"/>
        <v>February</v>
      </c>
      <c r="AD411">
        <f t="shared" si="54"/>
        <v>2025</v>
      </c>
      <c r="AE411" t="str">
        <f t="shared" si="55"/>
        <v>Clean</v>
      </c>
    </row>
    <row r="412" spans="1:31">
      <c r="A412" t="s">
        <v>1332</v>
      </c>
      <c r="B412" s="3">
        <v>45394</v>
      </c>
      <c r="C412" s="3">
        <v>45402</v>
      </c>
      <c r="D412" t="s">
        <v>1333</v>
      </c>
      <c r="E412" t="s">
        <v>162</v>
      </c>
      <c r="F412" t="s">
        <v>24</v>
      </c>
      <c r="G412" t="s">
        <v>63</v>
      </c>
      <c r="H412" t="s">
        <v>190</v>
      </c>
      <c r="I412" t="s">
        <v>191</v>
      </c>
      <c r="J412" t="s">
        <v>41</v>
      </c>
      <c r="K412" t="s">
        <v>42</v>
      </c>
      <c r="L412" t="s">
        <v>1334</v>
      </c>
      <c r="M412" t="s">
        <v>50</v>
      </c>
      <c r="N412">
        <v>9</v>
      </c>
      <c r="O412">
        <v>1302.6099999999999</v>
      </c>
      <c r="P412">
        <v>0.2</v>
      </c>
      <c r="Q412">
        <v>9378.7900000000009</v>
      </c>
      <c r="R412">
        <v>6774.48</v>
      </c>
      <c r="S412">
        <v>2604.31</v>
      </c>
      <c r="T412" t="s">
        <v>32</v>
      </c>
      <c r="U412" t="s">
        <v>33</v>
      </c>
      <c r="V412">
        <f>IF(OR(B412="Invalid Date",C412="Invalid Date"),"Invalid Date",C412-B412)</f>
        <v>8</v>
      </c>
      <c r="W412" s="4" t="str">
        <f>IF(OR(B412="Invalid Date",C412="Invalid Date"),"Invalid Date",IF(C412&lt;B412,"Invalid Shipping","OK"))</f>
        <v>OK</v>
      </c>
      <c r="X412">
        <f t="shared" si="48"/>
        <v>1</v>
      </c>
      <c r="Y412">
        <f t="shared" si="49"/>
        <v>0.2</v>
      </c>
      <c r="Z412">
        <f t="shared" si="50"/>
        <v>9378.7919999999995</v>
      </c>
      <c r="AA412">
        <f t="shared" si="51"/>
        <v>2604.3119999999999</v>
      </c>
      <c r="AB412" s="6">
        <f t="shared" si="52"/>
        <v>0.27768096360384154</v>
      </c>
      <c r="AC412" t="str">
        <f t="shared" si="53"/>
        <v>April</v>
      </c>
      <c r="AD412">
        <f t="shared" si="54"/>
        <v>2024</v>
      </c>
      <c r="AE412" t="str">
        <f t="shared" si="55"/>
        <v>Clean</v>
      </c>
    </row>
    <row r="413" spans="1:31">
      <c r="A413" t="s">
        <v>1335</v>
      </c>
      <c r="B413" s="3">
        <v>45892</v>
      </c>
      <c r="C413" s="3">
        <v>45897</v>
      </c>
      <c r="D413" t="s">
        <v>1336</v>
      </c>
      <c r="E413" t="s">
        <v>53</v>
      </c>
      <c r="F413" t="s">
        <v>95</v>
      </c>
      <c r="G413" t="s">
        <v>63</v>
      </c>
      <c r="H413" t="s">
        <v>26</v>
      </c>
      <c r="I413" t="s">
        <v>109</v>
      </c>
      <c r="J413" t="s">
        <v>41</v>
      </c>
      <c r="K413" t="s">
        <v>42</v>
      </c>
      <c r="L413" t="s">
        <v>1337</v>
      </c>
      <c r="M413" t="s">
        <v>50</v>
      </c>
      <c r="N413">
        <v>1</v>
      </c>
      <c r="O413">
        <v>4167.8100000000004</v>
      </c>
      <c r="P413">
        <v>0.2</v>
      </c>
      <c r="Q413">
        <v>3334.25</v>
      </c>
      <c r="R413">
        <v>2768.77</v>
      </c>
      <c r="S413">
        <v>565.48</v>
      </c>
      <c r="T413" t="s">
        <v>155</v>
      </c>
      <c r="U413" t="s">
        <v>103</v>
      </c>
      <c r="V413">
        <f>IF(OR(B413="Invalid Date",C413="Invalid Date"),"Invalid Date",C413-B413)</f>
        <v>5</v>
      </c>
      <c r="W413" s="4" t="str">
        <f>IF(OR(B413="Invalid Date",C413="Invalid Date"),"Invalid Date",IF(C413&lt;B413,"Invalid Shipping","OK"))</f>
        <v>OK</v>
      </c>
      <c r="X413">
        <f t="shared" si="48"/>
        <v>1</v>
      </c>
      <c r="Y413">
        <f t="shared" si="49"/>
        <v>0.2</v>
      </c>
      <c r="Z413">
        <f t="shared" si="50"/>
        <v>3334.2480000000005</v>
      </c>
      <c r="AA413">
        <f t="shared" si="51"/>
        <v>565.47800000000052</v>
      </c>
      <c r="AB413" s="6">
        <f t="shared" si="52"/>
        <v>0.16959686262089696</v>
      </c>
      <c r="AC413" t="str">
        <f t="shared" si="53"/>
        <v>August</v>
      </c>
      <c r="AD413">
        <f t="shared" si="54"/>
        <v>2025</v>
      </c>
      <c r="AE413" t="str">
        <f t="shared" si="55"/>
        <v>Clean</v>
      </c>
    </row>
    <row r="414" spans="1:31">
      <c r="A414" t="s">
        <v>1338</v>
      </c>
      <c r="B414" s="3">
        <v>45313</v>
      </c>
      <c r="C414" s="3">
        <v>45321</v>
      </c>
      <c r="D414" t="s">
        <v>1339</v>
      </c>
      <c r="E414" t="s">
        <v>47</v>
      </c>
      <c r="F414" t="s">
        <v>90</v>
      </c>
      <c r="G414" t="s">
        <v>54</v>
      </c>
      <c r="H414" t="s">
        <v>175</v>
      </c>
      <c r="I414" t="s">
        <v>176</v>
      </c>
      <c r="J414" t="s">
        <v>41</v>
      </c>
      <c r="K414" t="s">
        <v>66</v>
      </c>
      <c r="L414" t="s">
        <v>1340</v>
      </c>
      <c r="M414" t="s">
        <v>44</v>
      </c>
      <c r="N414">
        <v>1</v>
      </c>
      <c r="O414">
        <v>2111.39</v>
      </c>
      <c r="P414">
        <v>0.25</v>
      </c>
      <c r="Q414">
        <v>1583.54</v>
      </c>
      <c r="R414">
        <v>1014.19</v>
      </c>
      <c r="S414">
        <v>569.35</v>
      </c>
      <c r="T414" t="s">
        <v>32</v>
      </c>
      <c r="U414" t="s">
        <v>33</v>
      </c>
      <c r="V414">
        <f>IF(OR(B414="Invalid Date",C414="Invalid Date"),"Invalid Date",C414-B414)</f>
        <v>8</v>
      </c>
      <c r="W414" s="4" t="str">
        <f>IF(OR(B414="Invalid Date",C414="Invalid Date"),"Invalid Date",IF(C414&lt;B414,"Invalid Shipping","OK"))</f>
        <v>OK</v>
      </c>
      <c r="X414">
        <f t="shared" si="48"/>
        <v>1</v>
      </c>
      <c r="Y414">
        <f t="shared" si="49"/>
        <v>0.25</v>
      </c>
      <c r="Z414">
        <f t="shared" si="50"/>
        <v>1583.5425</v>
      </c>
      <c r="AA414">
        <f t="shared" si="51"/>
        <v>569.35249999999996</v>
      </c>
      <c r="AB414" s="6">
        <f t="shared" si="52"/>
        <v>0.35954355503562424</v>
      </c>
      <c r="AC414" t="str">
        <f t="shared" si="53"/>
        <v>January</v>
      </c>
      <c r="AD414">
        <f t="shared" si="54"/>
        <v>2024</v>
      </c>
      <c r="AE414" t="str">
        <f t="shared" si="55"/>
        <v>Clean</v>
      </c>
    </row>
    <row r="415" spans="1:31">
      <c r="A415" t="s">
        <v>1341</v>
      </c>
      <c r="B415" s="3">
        <v>45882</v>
      </c>
      <c r="C415" s="3">
        <v>45886</v>
      </c>
      <c r="D415" t="s">
        <v>1342</v>
      </c>
      <c r="E415" t="s">
        <v>79</v>
      </c>
      <c r="F415" t="s">
        <v>95</v>
      </c>
      <c r="G415" t="s">
        <v>63</v>
      </c>
      <c r="H415" t="s">
        <v>72</v>
      </c>
      <c r="I415" t="s">
        <v>73</v>
      </c>
      <c r="J415" t="s">
        <v>74</v>
      </c>
      <c r="K415" t="s">
        <v>75</v>
      </c>
      <c r="L415" t="s">
        <v>1343</v>
      </c>
      <c r="M415" t="s">
        <v>31</v>
      </c>
      <c r="N415">
        <v>8</v>
      </c>
      <c r="O415">
        <v>1918.23</v>
      </c>
      <c r="P415">
        <v>0</v>
      </c>
      <c r="Q415">
        <v>15345.84</v>
      </c>
      <c r="R415">
        <v>10735.33</v>
      </c>
      <c r="S415">
        <v>4610.51</v>
      </c>
      <c r="T415" t="s">
        <v>111</v>
      </c>
      <c r="U415" t="s">
        <v>68</v>
      </c>
      <c r="V415">
        <f>IF(OR(B415="Invalid Date",C415="Invalid Date"),"Invalid Date",C415-B415)</f>
        <v>4</v>
      </c>
      <c r="W415" s="4" t="str">
        <f>IF(OR(B415="Invalid Date",C415="Invalid Date"),"Invalid Date",IF(C415&lt;B415,"Invalid Shipping","OK"))</f>
        <v>OK</v>
      </c>
      <c r="X415">
        <f t="shared" si="48"/>
        <v>1</v>
      </c>
      <c r="Y415">
        <f t="shared" si="49"/>
        <v>0</v>
      </c>
      <c r="Z415">
        <f t="shared" si="50"/>
        <v>15345.84</v>
      </c>
      <c r="AA415">
        <f t="shared" si="51"/>
        <v>4610.51</v>
      </c>
      <c r="AB415" s="6">
        <f t="shared" si="52"/>
        <v>0.30044037993358463</v>
      </c>
      <c r="AC415" t="str">
        <f t="shared" si="53"/>
        <v>August</v>
      </c>
      <c r="AD415">
        <f t="shared" si="54"/>
        <v>2025</v>
      </c>
      <c r="AE415" t="str">
        <f t="shared" si="55"/>
        <v>Clean</v>
      </c>
    </row>
    <row r="416" spans="1:31">
      <c r="A416" t="s">
        <v>1344</v>
      </c>
      <c r="B416" s="3">
        <v>45533</v>
      </c>
      <c r="C416" s="3" t="s">
        <v>2763</v>
      </c>
      <c r="D416" t="s">
        <v>1345</v>
      </c>
      <c r="E416" t="s">
        <v>53</v>
      </c>
      <c r="F416" t="s">
        <v>95</v>
      </c>
      <c r="G416" t="s">
        <v>38</v>
      </c>
      <c r="H416" t="s">
        <v>166</v>
      </c>
      <c r="I416" t="s">
        <v>167</v>
      </c>
      <c r="J416" t="s">
        <v>28</v>
      </c>
      <c r="K416" t="s">
        <v>124</v>
      </c>
      <c r="L416" t="s">
        <v>1346</v>
      </c>
      <c r="M416" t="s">
        <v>50</v>
      </c>
      <c r="N416">
        <v>4</v>
      </c>
      <c r="O416">
        <v>2484.08</v>
      </c>
      <c r="P416">
        <v>0.05</v>
      </c>
      <c r="Q416">
        <v>9439.5</v>
      </c>
      <c r="R416">
        <v>5519.39</v>
      </c>
      <c r="S416">
        <v>3920.11</v>
      </c>
      <c r="T416" t="s">
        <v>32</v>
      </c>
      <c r="U416" t="s">
        <v>33</v>
      </c>
      <c r="V416" t="str">
        <f>IF(OR(B416="Invalid Date",C416="Invalid Date"),"Invalid Date",C416-B416)</f>
        <v>Invalid Date</v>
      </c>
      <c r="W416" s="4" t="str">
        <f>IF(OR(B416="Invalid Date",C416="Invalid Date"),"Invalid Date",IF(C416&lt;B416,"Invalid Shipping","OK"))</f>
        <v>Invalid Date</v>
      </c>
      <c r="X416">
        <f t="shared" si="48"/>
        <v>1</v>
      </c>
      <c r="Y416">
        <f t="shared" si="49"/>
        <v>0.05</v>
      </c>
      <c r="Z416">
        <f t="shared" si="50"/>
        <v>9439.503999999999</v>
      </c>
      <c r="AA416">
        <f t="shared" si="51"/>
        <v>3920.1139999999987</v>
      </c>
      <c r="AB416" s="6">
        <f t="shared" si="52"/>
        <v>0.41528813378330037</v>
      </c>
      <c r="AC416" t="str">
        <f t="shared" si="53"/>
        <v>August</v>
      </c>
      <c r="AD416">
        <f t="shared" si="54"/>
        <v>2024</v>
      </c>
      <c r="AE416" t="str">
        <f t="shared" si="55"/>
        <v>Invalid</v>
      </c>
    </row>
    <row r="417" spans="1:31">
      <c r="A417" t="s">
        <v>1347</v>
      </c>
      <c r="B417" s="3" t="s">
        <v>2763</v>
      </c>
      <c r="C417" s="3">
        <v>45318</v>
      </c>
      <c r="D417" t="s">
        <v>1348</v>
      </c>
      <c r="E417" t="s">
        <v>128</v>
      </c>
      <c r="F417" t="s">
        <v>90</v>
      </c>
      <c r="G417" t="s">
        <v>54</v>
      </c>
      <c r="H417" t="s">
        <v>175</v>
      </c>
      <c r="I417" t="s">
        <v>176</v>
      </c>
      <c r="J417" t="s">
        <v>28</v>
      </c>
      <c r="K417" t="s">
        <v>124</v>
      </c>
      <c r="L417" t="s">
        <v>1349</v>
      </c>
      <c r="M417" t="s">
        <v>44</v>
      </c>
      <c r="N417">
        <v>7</v>
      </c>
      <c r="O417">
        <v>1727.26</v>
      </c>
      <c r="P417">
        <v>0.15</v>
      </c>
      <c r="Q417">
        <v>10277.200000000001</v>
      </c>
      <c r="R417">
        <v>7906.5</v>
      </c>
      <c r="S417">
        <v>2370.6999999999998</v>
      </c>
      <c r="T417" t="s">
        <v>32</v>
      </c>
      <c r="U417" t="s">
        <v>103</v>
      </c>
      <c r="V417" t="str">
        <f>IF(OR(B417="Invalid Date",C417="Invalid Date"),"Invalid Date",C417-B417)</f>
        <v>Invalid Date</v>
      </c>
      <c r="W417" s="4" t="str">
        <f>IF(OR(B417="Invalid Date",C417="Invalid Date"),"Invalid Date",IF(C417&lt;B417,"Invalid Shipping","OK"))</f>
        <v>Invalid Date</v>
      </c>
      <c r="X417">
        <f t="shared" si="48"/>
        <v>1</v>
      </c>
      <c r="Y417">
        <f t="shared" si="49"/>
        <v>0.15</v>
      </c>
      <c r="Z417">
        <f t="shared" si="50"/>
        <v>10277.197</v>
      </c>
      <c r="AA417">
        <f t="shared" si="51"/>
        <v>2370.6970000000001</v>
      </c>
      <c r="AB417" s="6">
        <f t="shared" si="52"/>
        <v>0.23067544584384245</v>
      </c>
      <c r="AC417" t="str">
        <f t="shared" si="53"/>
        <v/>
      </c>
      <c r="AD417" t="str">
        <f t="shared" si="54"/>
        <v/>
      </c>
      <c r="AE417" t="str">
        <f t="shared" si="55"/>
        <v>Invalid</v>
      </c>
    </row>
    <row r="418" spans="1:31">
      <c r="A418" t="s">
        <v>1350</v>
      </c>
      <c r="B418" s="3">
        <v>45665</v>
      </c>
      <c r="C418" s="3">
        <v>45673</v>
      </c>
      <c r="D418" t="s">
        <v>1351</v>
      </c>
      <c r="E418" t="s">
        <v>79</v>
      </c>
      <c r="F418" t="s">
        <v>24</v>
      </c>
      <c r="G418" t="s">
        <v>54</v>
      </c>
      <c r="H418" t="s">
        <v>55</v>
      </c>
      <c r="I418" t="s">
        <v>56</v>
      </c>
      <c r="J418" t="s">
        <v>41</v>
      </c>
      <c r="K418" t="s">
        <v>57</v>
      </c>
      <c r="L418" t="s">
        <v>1352</v>
      </c>
      <c r="M418" t="s">
        <v>50</v>
      </c>
      <c r="N418">
        <v>8</v>
      </c>
      <c r="O418">
        <v>638.95000000000005</v>
      </c>
      <c r="P418">
        <v>0.25</v>
      </c>
      <c r="Q418">
        <v>3833.7</v>
      </c>
      <c r="R418">
        <v>2886.35</v>
      </c>
      <c r="S418">
        <v>947.35</v>
      </c>
      <c r="T418" t="s">
        <v>32</v>
      </c>
      <c r="U418" t="s">
        <v>33</v>
      </c>
      <c r="V418">
        <f>IF(OR(B418="Invalid Date",C418="Invalid Date"),"Invalid Date",C418-B418)</f>
        <v>8</v>
      </c>
      <c r="W418" s="4" t="str">
        <f>IF(OR(B418="Invalid Date",C418="Invalid Date"),"Invalid Date",IF(C418&lt;B418,"Invalid Shipping","OK"))</f>
        <v>OK</v>
      </c>
      <c r="X418">
        <f t="shared" si="48"/>
        <v>1</v>
      </c>
      <c r="Y418">
        <f t="shared" si="49"/>
        <v>0.25</v>
      </c>
      <c r="Z418">
        <f t="shared" si="50"/>
        <v>3833.7000000000003</v>
      </c>
      <c r="AA418">
        <f t="shared" si="51"/>
        <v>947.35000000000036</v>
      </c>
      <c r="AB418" s="6">
        <f t="shared" si="52"/>
        <v>0.24711114589039318</v>
      </c>
      <c r="AC418" t="str">
        <f t="shared" si="53"/>
        <v>January</v>
      </c>
      <c r="AD418">
        <f t="shared" si="54"/>
        <v>2025</v>
      </c>
      <c r="AE418" t="str">
        <f t="shared" si="55"/>
        <v>Clean</v>
      </c>
    </row>
    <row r="419" spans="1:31">
      <c r="A419" t="s">
        <v>1353</v>
      </c>
      <c r="B419" s="3" t="s">
        <v>2763</v>
      </c>
      <c r="C419" s="3">
        <v>45779</v>
      </c>
      <c r="D419" t="s">
        <v>1354</v>
      </c>
      <c r="E419" t="s">
        <v>36</v>
      </c>
      <c r="F419" t="s">
        <v>24</v>
      </c>
      <c r="G419" t="s">
        <v>63</v>
      </c>
      <c r="H419" t="s">
        <v>180</v>
      </c>
      <c r="I419" t="s">
        <v>181</v>
      </c>
      <c r="J419" t="s">
        <v>28</v>
      </c>
      <c r="K419" t="s">
        <v>48</v>
      </c>
      <c r="L419" t="s">
        <v>1355</v>
      </c>
      <c r="M419" t="s">
        <v>50</v>
      </c>
      <c r="N419">
        <v>6</v>
      </c>
      <c r="O419">
        <v>3863</v>
      </c>
      <c r="P419">
        <v>0.2</v>
      </c>
      <c r="Q419">
        <v>18542.400000000001</v>
      </c>
      <c r="R419">
        <v>11193.75</v>
      </c>
      <c r="S419">
        <v>7348.65</v>
      </c>
      <c r="T419" t="s">
        <v>32</v>
      </c>
      <c r="U419" t="s">
        <v>33</v>
      </c>
      <c r="V419" t="str">
        <f>IF(OR(B419="Invalid Date",C419="Invalid Date"),"Invalid Date",C419-B419)</f>
        <v>Invalid Date</v>
      </c>
      <c r="W419" s="4" t="str">
        <f>IF(OR(B419="Invalid Date",C419="Invalid Date"),"Invalid Date",IF(C419&lt;B419,"Invalid Shipping","OK"))</f>
        <v>Invalid Date</v>
      </c>
      <c r="X419">
        <f t="shared" si="48"/>
        <v>1</v>
      </c>
      <c r="Y419">
        <f t="shared" si="49"/>
        <v>0.2</v>
      </c>
      <c r="Z419">
        <f t="shared" si="50"/>
        <v>18542.400000000001</v>
      </c>
      <c r="AA419">
        <f t="shared" si="51"/>
        <v>7348.6500000000015</v>
      </c>
      <c r="AB419" s="6">
        <f t="shared" si="52"/>
        <v>0.39631601087237905</v>
      </c>
      <c r="AC419" t="str">
        <f t="shared" si="53"/>
        <v/>
      </c>
      <c r="AD419" t="str">
        <f t="shared" si="54"/>
        <v/>
      </c>
      <c r="AE419" t="str">
        <f t="shared" si="55"/>
        <v>Invalid</v>
      </c>
    </row>
    <row r="420" spans="1:31">
      <c r="A420" t="s">
        <v>1356</v>
      </c>
      <c r="B420" s="3">
        <v>45546</v>
      </c>
      <c r="C420" s="3" t="s">
        <v>2763</v>
      </c>
      <c r="D420" t="s">
        <v>1357</v>
      </c>
      <c r="E420" t="s">
        <v>132</v>
      </c>
      <c r="F420" t="s">
        <v>90</v>
      </c>
      <c r="G420" t="s">
        <v>38</v>
      </c>
      <c r="H420" t="s">
        <v>39</v>
      </c>
      <c r="I420" t="s">
        <v>40</v>
      </c>
      <c r="J420" t="s">
        <v>74</v>
      </c>
      <c r="K420" t="s">
        <v>80</v>
      </c>
      <c r="L420" t="s">
        <v>1358</v>
      </c>
      <c r="M420" t="s">
        <v>59</v>
      </c>
      <c r="N420">
        <v>6</v>
      </c>
      <c r="O420">
        <v>3660.4</v>
      </c>
      <c r="P420">
        <v>0</v>
      </c>
      <c r="Q420">
        <v>21962.400000000001</v>
      </c>
      <c r="R420">
        <v>15331.99</v>
      </c>
      <c r="S420">
        <v>6630.41</v>
      </c>
      <c r="T420" t="s">
        <v>155</v>
      </c>
      <c r="U420" t="s">
        <v>68</v>
      </c>
      <c r="V420" t="str">
        <f>IF(OR(B420="Invalid Date",C420="Invalid Date"),"Invalid Date",C420-B420)</f>
        <v>Invalid Date</v>
      </c>
      <c r="W420" s="4" t="str">
        <f>IF(OR(B420="Invalid Date",C420="Invalid Date"),"Invalid Date",IF(C420&lt;B420,"Invalid Shipping","OK"))</f>
        <v>Invalid Date</v>
      </c>
      <c r="X420">
        <f t="shared" si="48"/>
        <v>1</v>
      </c>
      <c r="Y420">
        <f t="shared" si="49"/>
        <v>0</v>
      </c>
      <c r="Z420">
        <f t="shared" si="50"/>
        <v>21962.400000000001</v>
      </c>
      <c r="AA420">
        <f t="shared" si="51"/>
        <v>6630.4100000000017</v>
      </c>
      <c r="AB420" s="6">
        <f t="shared" si="52"/>
        <v>0.3018982442720286</v>
      </c>
      <c r="AC420" t="str">
        <f t="shared" si="53"/>
        <v>September</v>
      </c>
      <c r="AD420">
        <f t="shared" si="54"/>
        <v>2024</v>
      </c>
      <c r="AE420" t="str">
        <f t="shared" si="55"/>
        <v>Invalid</v>
      </c>
    </row>
    <row r="421" spans="1:31">
      <c r="A421" t="s">
        <v>1359</v>
      </c>
      <c r="B421" s="3">
        <v>45926</v>
      </c>
      <c r="C421" s="3" t="s">
        <v>2763</v>
      </c>
      <c r="D421" t="s">
        <v>1360</v>
      </c>
      <c r="E421" t="s">
        <v>132</v>
      </c>
      <c r="F421" t="s">
        <v>95</v>
      </c>
      <c r="G421" t="s">
        <v>25</v>
      </c>
      <c r="H421" t="s">
        <v>236</v>
      </c>
      <c r="I421" t="s">
        <v>237</v>
      </c>
      <c r="J421" t="s">
        <v>74</v>
      </c>
      <c r="K421" t="s">
        <v>171</v>
      </c>
      <c r="L421" t="s">
        <v>1361</v>
      </c>
      <c r="M421" t="s">
        <v>44</v>
      </c>
      <c r="N421">
        <v>2</v>
      </c>
      <c r="O421">
        <v>688.83</v>
      </c>
      <c r="P421">
        <v>0.05</v>
      </c>
      <c r="Q421">
        <v>1308.78</v>
      </c>
      <c r="R421">
        <v>843</v>
      </c>
      <c r="S421">
        <v>465.78</v>
      </c>
      <c r="T421" t="s">
        <v>32</v>
      </c>
      <c r="U421" t="s">
        <v>33</v>
      </c>
      <c r="V421" t="str">
        <f>IF(OR(B421="Invalid Date",C421="Invalid Date"),"Invalid Date",C421-B421)</f>
        <v>Invalid Date</v>
      </c>
      <c r="W421" s="4" t="str">
        <f>IF(OR(B421="Invalid Date",C421="Invalid Date"),"Invalid Date",IF(C421&lt;B421,"Invalid Shipping","OK"))</f>
        <v>Invalid Date</v>
      </c>
      <c r="X421">
        <f t="shared" si="48"/>
        <v>1</v>
      </c>
      <c r="Y421">
        <f t="shared" si="49"/>
        <v>0.05</v>
      </c>
      <c r="Z421">
        <f t="shared" si="50"/>
        <v>1308.777</v>
      </c>
      <c r="AA421">
        <f t="shared" si="51"/>
        <v>465.77700000000004</v>
      </c>
      <c r="AB421" s="6">
        <f t="shared" si="52"/>
        <v>0.35588721378813964</v>
      </c>
      <c r="AC421" t="str">
        <f t="shared" si="53"/>
        <v>September</v>
      </c>
      <c r="AD421">
        <f t="shared" si="54"/>
        <v>2025</v>
      </c>
      <c r="AE421" t="str">
        <f t="shared" si="55"/>
        <v>Invalid</v>
      </c>
    </row>
    <row r="422" spans="1:31">
      <c r="A422" t="s">
        <v>1362</v>
      </c>
      <c r="B422" s="3">
        <v>45734</v>
      </c>
      <c r="C422" s="3">
        <v>45735</v>
      </c>
      <c r="D422" t="s">
        <v>1363</v>
      </c>
      <c r="E422" t="s">
        <v>47</v>
      </c>
      <c r="F422" t="s">
        <v>90</v>
      </c>
      <c r="G422" t="s">
        <v>54</v>
      </c>
      <c r="H422" t="s">
        <v>247</v>
      </c>
      <c r="I422" t="s">
        <v>248</v>
      </c>
      <c r="J422" t="s">
        <v>74</v>
      </c>
      <c r="K422" t="s">
        <v>274</v>
      </c>
      <c r="L422" t="s">
        <v>1364</v>
      </c>
      <c r="M422" t="s">
        <v>59</v>
      </c>
      <c r="N422">
        <v>2</v>
      </c>
      <c r="O422">
        <v>1209.99</v>
      </c>
      <c r="P422">
        <v>0.25</v>
      </c>
      <c r="Q422">
        <v>1814.99</v>
      </c>
      <c r="R422">
        <v>1120.06</v>
      </c>
      <c r="S422">
        <v>694.93</v>
      </c>
      <c r="T422" t="s">
        <v>111</v>
      </c>
      <c r="U422" t="s">
        <v>68</v>
      </c>
      <c r="V422">
        <f>IF(OR(B422="Invalid Date",C422="Invalid Date"),"Invalid Date",C422-B422)</f>
        <v>1</v>
      </c>
      <c r="W422" s="4" t="str">
        <f>IF(OR(B422="Invalid Date",C422="Invalid Date"),"Invalid Date",IF(C422&lt;B422,"Invalid Shipping","OK"))</f>
        <v>OK</v>
      </c>
      <c r="X422">
        <f t="shared" si="48"/>
        <v>1</v>
      </c>
      <c r="Y422">
        <f t="shared" si="49"/>
        <v>0.25</v>
      </c>
      <c r="Z422">
        <f t="shared" si="50"/>
        <v>1814.9850000000001</v>
      </c>
      <c r="AA422">
        <f t="shared" si="51"/>
        <v>694.92500000000018</v>
      </c>
      <c r="AB422" s="6">
        <f t="shared" si="52"/>
        <v>0.38288195219244242</v>
      </c>
      <c r="AC422" t="str">
        <f t="shared" si="53"/>
        <v>March</v>
      </c>
      <c r="AD422">
        <f t="shared" si="54"/>
        <v>2025</v>
      </c>
      <c r="AE422" t="str">
        <f t="shared" si="55"/>
        <v>Clean</v>
      </c>
    </row>
    <row r="423" spans="1:31">
      <c r="A423" t="s">
        <v>1365</v>
      </c>
      <c r="B423" s="3" t="s">
        <v>2763</v>
      </c>
      <c r="C423" s="3">
        <v>45827</v>
      </c>
      <c r="D423" t="s">
        <v>1366</v>
      </c>
      <c r="E423" t="s">
        <v>141</v>
      </c>
      <c r="F423" t="s">
        <v>37</v>
      </c>
      <c r="G423" t="s">
        <v>25</v>
      </c>
      <c r="H423" t="s">
        <v>350</v>
      </c>
      <c r="I423" t="s">
        <v>351</v>
      </c>
      <c r="J423" t="s">
        <v>28</v>
      </c>
      <c r="K423" t="s">
        <v>153</v>
      </c>
      <c r="L423" t="s">
        <v>1367</v>
      </c>
      <c r="M423" t="s">
        <v>44</v>
      </c>
      <c r="N423">
        <v>3</v>
      </c>
      <c r="O423">
        <v>1037.45</v>
      </c>
      <c r="P423">
        <v>0.2</v>
      </c>
      <c r="Q423">
        <v>2489.88</v>
      </c>
      <c r="R423">
        <v>1707.52</v>
      </c>
      <c r="S423">
        <v>782.36</v>
      </c>
      <c r="T423" t="s">
        <v>111</v>
      </c>
      <c r="U423" t="s">
        <v>103</v>
      </c>
      <c r="V423" t="str">
        <f>IF(OR(B423="Invalid Date",C423="Invalid Date"),"Invalid Date",C423-B423)</f>
        <v>Invalid Date</v>
      </c>
      <c r="W423" s="4" t="str">
        <f>IF(OR(B423="Invalid Date",C423="Invalid Date"),"Invalid Date",IF(C423&lt;B423,"Invalid Shipping","OK"))</f>
        <v>Invalid Date</v>
      </c>
      <c r="X423">
        <f t="shared" si="48"/>
        <v>1</v>
      </c>
      <c r="Y423">
        <f t="shared" si="49"/>
        <v>0.2</v>
      </c>
      <c r="Z423">
        <f t="shared" si="50"/>
        <v>2489.8800000000006</v>
      </c>
      <c r="AA423">
        <f t="shared" si="51"/>
        <v>782.36000000000058</v>
      </c>
      <c r="AB423" s="6">
        <f t="shared" si="52"/>
        <v>0.31421594615001541</v>
      </c>
      <c r="AC423" t="str">
        <f t="shared" si="53"/>
        <v/>
      </c>
      <c r="AD423" t="str">
        <f t="shared" si="54"/>
        <v/>
      </c>
      <c r="AE423" t="str">
        <f t="shared" si="55"/>
        <v>Invalid</v>
      </c>
    </row>
    <row r="424" spans="1:31">
      <c r="A424" t="s">
        <v>1368</v>
      </c>
      <c r="B424" s="3">
        <v>45725</v>
      </c>
      <c r="C424" s="3">
        <v>45906</v>
      </c>
      <c r="D424" t="s">
        <v>1369</v>
      </c>
      <c r="E424" t="s">
        <v>264</v>
      </c>
      <c r="F424" t="s">
        <v>24</v>
      </c>
      <c r="G424" t="s">
        <v>63</v>
      </c>
      <c r="H424" t="s">
        <v>72</v>
      </c>
      <c r="I424" t="s">
        <v>73</v>
      </c>
      <c r="J424" t="s">
        <v>74</v>
      </c>
      <c r="K424" t="s">
        <v>80</v>
      </c>
      <c r="L424" t="s">
        <v>1370</v>
      </c>
      <c r="M424" t="s">
        <v>44</v>
      </c>
      <c r="N424">
        <v>7</v>
      </c>
      <c r="O424">
        <v>688.85</v>
      </c>
      <c r="P424">
        <v>0.15</v>
      </c>
      <c r="Q424">
        <v>4098.66</v>
      </c>
      <c r="R424">
        <v>2678.06</v>
      </c>
      <c r="S424">
        <v>1420.6</v>
      </c>
      <c r="T424" t="s">
        <v>32</v>
      </c>
      <c r="U424" t="s">
        <v>33</v>
      </c>
      <c r="V424">
        <f>IF(OR(B424="Invalid Date",C424="Invalid Date"),"Invalid Date",C424-B424)</f>
        <v>181</v>
      </c>
      <c r="W424" s="4" t="str">
        <f>IF(OR(B424="Invalid Date",C424="Invalid Date"),"Invalid Date",IF(C424&lt;B424,"Invalid Shipping","OK"))</f>
        <v>OK</v>
      </c>
      <c r="X424">
        <f t="shared" si="48"/>
        <v>1</v>
      </c>
      <c r="Y424">
        <f t="shared" si="49"/>
        <v>0.15</v>
      </c>
      <c r="Z424">
        <f t="shared" si="50"/>
        <v>4098.6574999999993</v>
      </c>
      <c r="AA424">
        <f t="shared" si="51"/>
        <v>1420.5974999999994</v>
      </c>
      <c r="AB424" s="6">
        <f t="shared" si="52"/>
        <v>0.34660068571233377</v>
      </c>
      <c r="AC424" t="str">
        <f t="shared" si="53"/>
        <v>March</v>
      </c>
      <c r="AD424">
        <f t="shared" si="54"/>
        <v>2025</v>
      </c>
      <c r="AE424" t="str">
        <f t="shared" si="55"/>
        <v>Clean</v>
      </c>
    </row>
    <row r="425" spans="1:31">
      <c r="A425" t="s">
        <v>1371</v>
      </c>
      <c r="B425" s="3">
        <v>45342</v>
      </c>
      <c r="C425" s="3">
        <v>45349</v>
      </c>
      <c r="D425" t="s">
        <v>1372</v>
      </c>
      <c r="E425" t="s">
        <v>162</v>
      </c>
      <c r="F425" t="s">
        <v>24</v>
      </c>
      <c r="G425" t="s">
        <v>54</v>
      </c>
      <c r="H425" t="s">
        <v>185</v>
      </c>
      <c r="I425" t="s">
        <v>186</v>
      </c>
      <c r="J425" t="s">
        <v>74</v>
      </c>
      <c r="K425" t="s">
        <v>75</v>
      </c>
      <c r="L425" t="s">
        <v>1373</v>
      </c>
      <c r="M425" t="s">
        <v>50</v>
      </c>
      <c r="N425">
        <v>9</v>
      </c>
      <c r="O425">
        <v>3779.31</v>
      </c>
      <c r="P425">
        <v>0.2</v>
      </c>
      <c r="Q425">
        <v>27211.03</v>
      </c>
      <c r="R425">
        <v>17940.43</v>
      </c>
      <c r="S425">
        <v>9270.6</v>
      </c>
      <c r="T425" t="s">
        <v>32</v>
      </c>
      <c r="U425" t="s">
        <v>33</v>
      </c>
      <c r="V425">
        <f>IF(OR(B425="Invalid Date",C425="Invalid Date"),"Invalid Date",C425-B425)</f>
        <v>7</v>
      </c>
      <c r="W425" s="4" t="str">
        <f>IF(OR(B425="Invalid Date",C425="Invalid Date"),"Invalid Date",IF(C425&lt;B425,"Invalid Shipping","OK"))</f>
        <v>OK</v>
      </c>
      <c r="X425">
        <f t="shared" si="48"/>
        <v>2</v>
      </c>
      <c r="Y425">
        <f t="shared" si="49"/>
        <v>0.2</v>
      </c>
      <c r="Z425">
        <f t="shared" si="50"/>
        <v>27211.032000000003</v>
      </c>
      <c r="AA425">
        <f t="shared" si="51"/>
        <v>9270.6020000000026</v>
      </c>
      <c r="AB425" s="6">
        <f t="shared" si="52"/>
        <v>0.34069277490100347</v>
      </c>
      <c r="AC425" t="str">
        <f t="shared" si="53"/>
        <v>February</v>
      </c>
      <c r="AD425">
        <f t="shared" si="54"/>
        <v>2024</v>
      </c>
      <c r="AE425" t="str">
        <f t="shared" si="55"/>
        <v>Clean</v>
      </c>
    </row>
    <row r="426" spans="1:31">
      <c r="A426" t="s">
        <v>1374</v>
      </c>
      <c r="B426" s="3" t="s">
        <v>2763</v>
      </c>
      <c r="C426" s="3">
        <v>45472</v>
      </c>
      <c r="D426" t="s">
        <v>1375</v>
      </c>
      <c r="E426" t="s">
        <v>79</v>
      </c>
      <c r="F426" t="s">
        <v>90</v>
      </c>
      <c r="G426" t="s">
        <v>25</v>
      </c>
      <c r="H426" t="s">
        <v>122</v>
      </c>
      <c r="I426" t="s">
        <v>123</v>
      </c>
      <c r="J426" t="s">
        <v>74</v>
      </c>
      <c r="K426" t="s">
        <v>171</v>
      </c>
      <c r="L426" t="s">
        <v>1376</v>
      </c>
      <c r="M426" t="s">
        <v>59</v>
      </c>
      <c r="N426">
        <v>8</v>
      </c>
      <c r="O426">
        <v>804.52</v>
      </c>
      <c r="P426">
        <v>0</v>
      </c>
      <c r="Q426">
        <v>6436.16</v>
      </c>
      <c r="R426">
        <v>4263.83</v>
      </c>
      <c r="S426">
        <v>2172.33</v>
      </c>
      <c r="T426" t="s">
        <v>32</v>
      </c>
      <c r="U426" t="s">
        <v>33</v>
      </c>
      <c r="V426" t="str">
        <f>IF(OR(B426="Invalid Date",C426="Invalid Date"),"Invalid Date",C426-B426)</f>
        <v>Invalid Date</v>
      </c>
      <c r="W426" s="4" t="str">
        <f>IF(OR(B426="Invalid Date",C426="Invalid Date"),"Invalid Date",IF(C426&lt;B426,"Invalid Shipping","OK"))</f>
        <v>Invalid Date</v>
      </c>
      <c r="X426">
        <f t="shared" si="48"/>
        <v>1</v>
      </c>
      <c r="Y426">
        <f t="shared" si="49"/>
        <v>0</v>
      </c>
      <c r="Z426">
        <f t="shared" si="50"/>
        <v>6436.16</v>
      </c>
      <c r="AA426">
        <f t="shared" si="51"/>
        <v>2172.33</v>
      </c>
      <c r="AB426" s="6">
        <f t="shared" si="52"/>
        <v>0.33751957689056827</v>
      </c>
      <c r="AC426" t="str">
        <f t="shared" si="53"/>
        <v/>
      </c>
      <c r="AD426" t="str">
        <f t="shared" si="54"/>
        <v/>
      </c>
      <c r="AE426" t="str">
        <f t="shared" si="55"/>
        <v>Invalid</v>
      </c>
    </row>
    <row r="427" spans="1:31">
      <c r="A427" t="s">
        <v>1377</v>
      </c>
      <c r="B427" s="3">
        <v>45561</v>
      </c>
      <c r="C427" s="3" t="s">
        <v>2763</v>
      </c>
      <c r="D427" t="s">
        <v>1378</v>
      </c>
      <c r="E427" t="s">
        <v>47</v>
      </c>
      <c r="F427" t="s">
        <v>95</v>
      </c>
      <c r="G427" t="s">
        <v>25</v>
      </c>
      <c r="H427" t="s">
        <v>350</v>
      </c>
      <c r="I427" t="s">
        <v>351</v>
      </c>
      <c r="J427" t="s">
        <v>28</v>
      </c>
      <c r="K427" t="s">
        <v>91</v>
      </c>
      <c r="L427" t="s">
        <v>1379</v>
      </c>
      <c r="M427" t="s">
        <v>50</v>
      </c>
      <c r="N427">
        <v>2</v>
      </c>
      <c r="O427">
        <v>1065.69</v>
      </c>
      <c r="P427">
        <v>0.1</v>
      </c>
      <c r="Q427">
        <v>1918.24</v>
      </c>
      <c r="R427">
        <v>1373.52</v>
      </c>
      <c r="S427">
        <v>544.72</v>
      </c>
      <c r="T427" t="s">
        <v>102</v>
      </c>
      <c r="U427" t="s">
        <v>68</v>
      </c>
      <c r="V427" t="str">
        <f>IF(OR(B427="Invalid Date",C427="Invalid Date"),"Invalid Date",C427-B427)</f>
        <v>Invalid Date</v>
      </c>
      <c r="W427" s="4" t="str">
        <f>IF(OR(B427="Invalid Date",C427="Invalid Date"),"Invalid Date",IF(C427&lt;B427,"Invalid Shipping","OK"))</f>
        <v>Invalid Date</v>
      </c>
      <c r="X427">
        <f t="shared" si="48"/>
        <v>1</v>
      </c>
      <c r="Y427">
        <f t="shared" si="49"/>
        <v>0.1</v>
      </c>
      <c r="Z427">
        <f t="shared" si="50"/>
        <v>1918.2420000000002</v>
      </c>
      <c r="AA427">
        <f t="shared" si="51"/>
        <v>544.72200000000021</v>
      </c>
      <c r="AB427" s="6">
        <f t="shared" si="52"/>
        <v>0.2839693844676533</v>
      </c>
      <c r="AC427" t="str">
        <f t="shared" si="53"/>
        <v>September</v>
      </c>
      <c r="AD427">
        <f t="shared" si="54"/>
        <v>2024</v>
      </c>
      <c r="AE427" t="str">
        <f t="shared" si="55"/>
        <v>Invalid</v>
      </c>
    </row>
    <row r="428" spans="1:31">
      <c r="A428" t="s">
        <v>1380</v>
      </c>
      <c r="B428" s="3">
        <v>45473</v>
      </c>
      <c r="C428" s="3">
        <v>45474</v>
      </c>
      <c r="D428" t="s">
        <v>1381</v>
      </c>
      <c r="E428" t="s">
        <v>89</v>
      </c>
      <c r="F428" t="s">
        <v>24</v>
      </c>
      <c r="G428" t="s">
        <v>25</v>
      </c>
      <c r="H428" t="s">
        <v>236</v>
      </c>
      <c r="I428" t="s">
        <v>237</v>
      </c>
      <c r="J428" t="s">
        <v>74</v>
      </c>
      <c r="K428" t="s">
        <v>80</v>
      </c>
      <c r="L428" t="s">
        <v>1382</v>
      </c>
      <c r="M428" t="s">
        <v>44</v>
      </c>
      <c r="N428">
        <v>8</v>
      </c>
      <c r="O428">
        <v>3756.66</v>
      </c>
      <c r="P428">
        <v>0.1</v>
      </c>
      <c r="Q428">
        <v>27047.95</v>
      </c>
      <c r="R428">
        <v>18431.330000000002</v>
      </c>
      <c r="S428">
        <v>8616.6200000000008</v>
      </c>
      <c r="T428" t="s">
        <v>32</v>
      </c>
      <c r="U428" t="s">
        <v>33</v>
      </c>
      <c r="V428">
        <f>IF(OR(B428="Invalid Date",C428="Invalid Date"),"Invalid Date",C428-B428)</f>
        <v>1</v>
      </c>
      <c r="W428" s="4" t="str">
        <f>IF(OR(B428="Invalid Date",C428="Invalid Date"),"Invalid Date",IF(C428&lt;B428,"Invalid Shipping","OK"))</f>
        <v>OK</v>
      </c>
      <c r="X428">
        <f t="shared" si="48"/>
        <v>1</v>
      </c>
      <c r="Y428">
        <f t="shared" si="49"/>
        <v>0.1</v>
      </c>
      <c r="Z428">
        <f t="shared" si="50"/>
        <v>27047.952000000001</v>
      </c>
      <c r="AA428">
        <f t="shared" si="51"/>
        <v>8616.6219999999994</v>
      </c>
      <c r="AB428" s="6">
        <f t="shared" si="52"/>
        <v>0.31856837072174626</v>
      </c>
      <c r="AC428" t="str">
        <f t="shared" si="53"/>
        <v>June</v>
      </c>
      <c r="AD428">
        <f t="shared" si="54"/>
        <v>2024</v>
      </c>
      <c r="AE428" t="str">
        <f t="shared" si="55"/>
        <v>Clean</v>
      </c>
    </row>
    <row r="429" spans="1:31">
      <c r="A429" t="s">
        <v>1383</v>
      </c>
      <c r="B429" s="3">
        <v>45769</v>
      </c>
      <c r="C429" s="3">
        <v>45771</v>
      </c>
      <c r="D429" t="s">
        <v>1384</v>
      </c>
      <c r="E429" t="s">
        <v>47</v>
      </c>
      <c r="F429" t="s">
        <v>90</v>
      </c>
      <c r="G429" t="s">
        <v>2767</v>
      </c>
      <c r="H429" t="s">
        <v>228</v>
      </c>
      <c r="I429" t="s">
        <v>229</v>
      </c>
      <c r="J429" t="s">
        <v>74</v>
      </c>
      <c r="K429" t="s">
        <v>75</v>
      </c>
      <c r="L429" t="s">
        <v>1385</v>
      </c>
      <c r="M429" t="s">
        <v>59</v>
      </c>
      <c r="N429">
        <v>9</v>
      </c>
      <c r="O429">
        <v>2939.44</v>
      </c>
      <c r="P429">
        <v>0</v>
      </c>
      <c r="Q429">
        <v>26454.959999999999</v>
      </c>
      <c r="R429">
        <v>17630.25</v>
      </c>
      <c r="S429">
        <v>8824.7099999999991</v>
      </c>
      <c r="T429" t="s">
        <v>32</v>
      </c>
      <c r="U429" t="s">
        <v>33</v>
      </c>
      <c r="V429">
        <f>IF(OR(B429="Invalid Date",C429="Invalid Date"),"Invalid Date",C429-B429)</f>
        <v>2</v>
      </c>
      <c r="W429" s="4" t="str">
        <f>IF(OR(B429="Invalid Date",C429="Invalid Date"),"Invalid Date",IF(C429&lt;B429,"Invalid Shipping","OK"))</f>
        <v>OK</v>
      </c>
      <c r="X429">
        <f t="shared" si="48"/>
        <v>1</v>
      </c>
      <c r="Y429">
        <f t="shared" si="49"/>
        <v>0</v>
      </c>
      <c r="Z429">
        <f t="shared" si="50"/>
        <v>26454.959999999999</v>
      </c>
      <c r="AA429">
        <f t="shared" si="51"/>
        <v>8824.7099999999991</v>
      </c>
      <c r="AB429" s="6">
        <f t="shared" si="52"/>
        <v>0.33357487594008833</v>
      </c>
      <c r="AC429" t="str">
        <f t="shared" si="53"/>
        <v>April</v>
      </c>
      <c r="AD429">
        <f t="shared" si="54"/>
        <v>2025</v>
      </c>
      <c r="AE429" t="str">
        <f t="shared" si="55"/>
        <v>Warning</v>
      </c>
    </row>
    <row r="430" spans="1:31">
      <c r="A430" t="s">
        <v>1386</v>
      </c>
      <c r="B430" s="3">
        <v>45731</v>
      </c>
      <c r="C430" s="3">
        <v>45738</v>
      </c>
      <c r="D430" t="s">
        <v>1387</v>
      </c>
      <c r="E430" t="s">
        <v>23</v>
      </c>
      <c r="F430" t="s">
        <v>37</v>
      </c>
      <c r="G430" t="s">
        <v>38</v>
      </c>
      <c r="H430" t="s">
        <v>99</v>
      </c>
      <c r="I430" t="s">
        <v>100</v>
      </c>
      <c r="J430" t="s">
        <v>74</v>
      </c>
      <c r="K430" t="s">
        <v>171</v>
      </c>
      <c r="L430" t="s">
        <v>1388</v>
      </c>
      <c r="M430" t="s">
        <v>44</v>
      </c>
      <c r="N430">
        <v>2</v>
      </c>
      <c r="O430">
        <v>1235.93</v>
      </c>
      <c r="P430">
        <v>0.25</v>
      </c>
      <c r="Q430">
        <v>1853.89</v>
      </c>
      <c r="R430">
        <v>1101.23</v>
      </c>
      <c r="S430">
        <v>752.66</v>
      </c>
      <c r="T430" t="s">
        <v>111</v>
      </c>
      <c r="U430" t="s">
        <v>68</v>
      </c>
      <c r="V430">
        <f>IF(OR(B430="Invalid Date",C430="Invalid Date"),"Invalid Date",C430-B430)</f>
        <v>7</v>
      </c>
      <c r="W430" s="4" t="str">
        <f>IF(OR(B430="Invalid Date",C430="Invalid Date"),"Invalid Date",IF(C430&lt;B430,"Invalid Shipping","OK"))</f>
        <v>OK</v>
      </c>
      <c r="X430">
        <f t="shared" si="48"/>
        <v>1</v>
      </c>
      <c r="Y430">
        <f t="shared" si="49"/>
        <v>0.25</v>
      </c>
      <c r="Z430">
        <f t="shared" si="50"/>
        <v>1853.895</v>
      </c>
      <c r="AA430">
        <f t="shared" si="51"/>
        <v>752.66499999999996</v>
      </c>
      <c r="AB430" s="6">
        <f t="shared" si="52"/>
        <v>0.40599116994220275</v>
      </c>
      <c r="AC430" t="str">
        <f t="shared" si="53"/>
        <v>March</v>
      </c>
      <c r="AD430">
        <f t="shared" si="54"/>
        <v>2025</v>
      </c>
      <c r="AE430" t="str">
        <f t="shared" si="55"/>
        <v>Clean</v>
      </c>
    </row>
    <row r="431" spans="1:31">
      <c r="A431" t="s">
        <v>1389</v>
      </c>
      <c r="B431" s="3">
        <v>45717</v>
      </c>
      <c r="C431" s="3">
        <v>45724</v>
      </c>
      <c r="D431" t="s">
        <v>1390</v>
      </c>
      <c r="E431" t="s">
        <v>79</v>
      </c>
      <c r="F431" t="s">
        <v>95</v>
      </c>
      <c r="G431" t="s">
        <v>25</v>
      </c>
      <c r="H431" t="s">
        <v>26</v>
      </c>
      <c r="I431" t="s">
        <v>27</v>
      </c>
      <c r="J431" t="s">
        <v>74</v>
      </c>
      <c r="K431" t="s">
        <v>80</v>
      </c>
      <c r="L431" t="s">
        <v>1391</v>
      </c>
      <c r="M431" t="s">
        <v>44</v>
      </c>
      <c r="N431">
        <v>8</v>
      </c>
      <c r="O431">
        <v>2943.1</v>
      </c>
      <c r="P431">
        <v>0.25</v>
      </c>
      <c r="Q431">
        <v>17658.599999999999</v>
      </c>
      <c r="R431">
        <v>13842.48</v>
      </c>
      <c r="S431">
        <v>3816.12</v>
      </c>
      <c r="T431" t="s">
        <v>32</v>
      </c>
      <c r="U431" t="s">
        <v>33</v>
      </c>
      <c r="V431">
        <f>IF(OR(B431="Invalid Date",C431="Invalid Date"),"Invalid Date",C431-B431)</f>
        <v>7</v>
      </c>
      <c r="W431" s="4" t="str">
        <f>IF(OR(B431="Invalid Date",C431="Invalid Date"),"Invalid Date",IF(C431&lt;B431,"Invalid Shipping","OK"))</f>
        <v>OK</v>
      </c>
      <c r="X431">
        <f t="shared" si="48"/>
        <v>1</v>
      </c>
      <c r="Y431">
        <f t="shared" si="49"/>
        <v>0.25</v>
      </c>
      <c r="Z431">
        <f t="shared" si="50"/>
        <v>17658.599999999999</v>
      </c>
      <c r="AA431">
        <f t="shared" si="51"/>
        <v>3816.119999999999</v>
      </c>
      <c r="AB431" s="6">
        <f t="shared" si="52"/>
        <v>0.2161054670245659</v>
      </c>
      <c r="AC431" t="str">
        <f t="shared" si="53"/>
        <v>March</v>
      </c>
      <c r="AD431">
        <f t="shared" si="54"/>
        <v>2025</v>
      </c>
      <c r="AE431" t="str">
        <f t="shared" si="55"/>
        <v>Clean</v>
      </c>
    </row>
    <row r="432" spans="1:31">
      <c r="A432" t="s">
        <v>1392</v>
      </c>
      <c r="B432" s="3">
        <v>45534</v>
      </c>
      <c r="C432" s="3">
        <v>45537</v>
      </c>
      <c r="D432" t="s">
        <v>1393</v>
      </c>
      <c r="E432" t="s">
        <v>79</v>
      </c>
      <c r="F432" t="s">
        <v>37</v>
      </c>
      <c r="G432" t="s">
        <v>25</v>
      </c>
      <c r="H432" t="s">
        <v>236</v>
      </c>
      <c r="I432" t="s">
        <v>237</v>
      </c>
      <c r="J432" t="s">
        <v>28</v>
      </c>
      <c r="K432" t="s">
        <v>29</v>
      </c>
      <c r="L432" t="s">
        <v>1394</v>
      </c>
      <c r="M432" t="s">
        <v>31</v>
      </c>
      <c r="N432">
        <v>1</v>
      </c>
      <c r="O432">
        <v>4320.84</v>
      </c>
      <c r="P432">
        <v>0.15</v>
      </c>
      <c r="Q432">
        <v>3672.71</v>
      </c>
      <c r="R432">
        <v>2714.23</v>
      </c>
      <c r="S432">
        <v>763.38</v>
      </c>
      <c r="T432" t="s">
        <v>32</v>
      </c>
      <c r="U432" t="s">
        <v>33</v>
      </c>
      <c r="V432">
        <f>IF(OR(B432="Invalid Date",C432="Invalid Date"),"Invalid Date",C432-B432)</f>
        <v>3</v>
      </c>
      <c r="W432" s="4" t="str">
        <f>IF(OR(B432="Invalid Date",C432="Invalid Date"),"Invalid Date",IF(C432&lt;B432,"Invalid Shipping","OK"))</f>
        <v>OK</v>
      </c>
      <c r="X432">
        <f t="shared" si="48"/>
        <v>1</v>
      </c>
      <c r="Y432">
        <f t="shared" si="49"/>
        <v>0.15</v>
      </c>
      <c r="Z432">
        <f t="shared" si="50"/>
        <v>3672.7139999999999</v>
      </c>
      <c r="AA432">
        <f t="shared" si="51"/>
        <v>958.48399999999992</v>
      </c>
      <c r="AB432" s="6">
        <f t="shared" si="52"/>
        <v>0.26097430946161337</v>
      </c>
      <c r="AC432" t="str">
        <f t="shared" si="53"/>
        <v>August</v>
      </c>
      <c r="AD432">
        <f t="shared" si="54"/>
        <v>2024</v>
      </c>
      <c r="AE432" t="str">
        <f t="shared" si="55"/>
        <v>Clean</v>
      </c>
    </row>
    <row r="433" spans="1:31">
      <c r="A433" t="s">
        <v>1395</v>
      </c>
      <c r="B433" s="3">
        <v>45332</v>
      </c>
      <c r="C433" s="3" t="s">
        <v>2763</v>
      </c>
      <c r="D433" t="s">
        <v>1396</v>
      </c>
      <c r="E433" t="s">
        <v>23</v>
      </c>
      <c r="F433" t="s">
        <v>95</v>
      </c>
      <c r="G433" t="s">
        <v>63</v>
      </c>
      <c r="H433" t="s">
        <v>190</v>
      </c>
      <c r="I433" t="s">
        <v>191</v>
      </c>
      <c r="J433" t="s">
        <v>74</v>
      </c>
      <c r="K433" t="s">
        <v>274</v>
      </c>
      <c r="L433" t="s">
        <v>1397</v>
      </c>
      <c r="M433" t="s">
        <v>44</v>
      </c>
      <c r="N433">
        <v>2</v>
      </c>
      <c r="O433">
        <v>4118.45</v>
      </c>
      <c r="P433">
        <v>0.25</v>
      </c>
      <c r="Q433">
        <v>6177.67</v>
      </c>
      <c r="R433">
        <v>4520.75</v>
      </c>
      <c r="S433">
        <v>1656.92</v>
      </c>
      <c r="T433" t="s">
        <v>32</v>
      </c>
      <c r="U433" t="s">
        <v>33</v>
      </c>
      <c r="V433" t="str">
        <f>IF(OR(B433="Invalid Date",C433="Invalid Date"),"Invalid Date",C433-B433)</f>
        <v>Invalid Date</v>
      </c>
      <c r="W433" s="4" t="str">
        <f>IF(OR(B433="Invalid Date",C433="Invalid Date"),"Invalid Date",IF(C433&lt;B433,"Invalid Shipping","OK"))</f>
        <v>Invalid Date</v>
      </c>
      <c r="X433">
        <f t="shared" si="48"/>
        <v>1</v>
      </c>
      <c r="Y433">
        <f t="shared" si="49"/>
        <v>0.25</v>
      </c>
      <c r="Z433">
        <f t="shared" si="50"/>
        <v>6177.6749999999993</v>
      </c>
      <c r="AA433">
        <f t="shared" si="51"/>
        <v>1656.9249999999993</v>
      </c>
      <c r="AB433" s="6">
        <f t="shared" si="52"/>
        <v>0.26821174632851347</v>
      </c>
      <c r="AC433" t="str">
        <f t="shared" si="53"/>
        <v>February</v>
      </c>
      <c r="AD433">
        <f t="shared" si="54"/>
        <v>2024</v>
      </c>
      <c r="AE433" t="str">
        <f t="shared" si="55"/>
        <v>Invalid</v>
      </c>
    </row>
    <row r="434" spans="1:31">
      <c r="A434" t="s">
        <v>1398</v>
      </c>
      <c r="B434" s="3" t="s">
        <v>2763</v>
      </c>
      <c r="C434" s="3">
        <v>45537</v>
      </c>
      <c r="D434" t="s">
        <v>1399</v>
      </c>
      <c r="E434" t="s">
        <v>114</v>
      </c>
      <c r="F434" t="s">
        <v>37</v>
      </c>
      <c r="G434" t="s">
        <v>63</v>
      </c>
      <c r="H434" t="s">
        <v>64</v>
      </c>
      <c r="I434" t="s">
        <v>65</v>
      </c>
      <c r="J434" t="s">
        <v>41</v>
      </c>
      <c r="K434" t="s">
        <v>158</v>
      </c>
      <c r="L434" t="s">
        <v>1400</v>
      </c>
      <c r="M434" t="s">
        <v>59</v>
      </c>
      <c r="N434">
        <v>6</v>
      </c>
      <c r="O434">
        <v>172.82</v>
      </c>
      <c r="P434">
        <v>0.05</v>
      </c>
      <c r="Q434">
        <v>985.07</v>
      </c>
      <c r="R434">
        <v>844.48</v>
      </c>
      <c r="S434">
        <v>140.59</v>
      </c>
      <c r="T434" t="s">
        <v>32</v>
      </c>
      <c r="U434" t="s">
        <v>33</v>
      </c>
      <c r="V434" t="str">
        <f>IF(OR(B434="Invalid Date",C434="Invalid Date"),"Invalid Date",C434-B434)</f>
        <v>Invalid Date</v>
      </c>
      <c r="W434" s="4" t="str">
        <f>IF(OR(B434="Invalid Date",C434="Invalid Date"),"Invalid Date",IF(C434&lt;B434,"Invalid Shipping","OK"))</f>
        <v>Invalid Date</v>
      </c>
      <c r="X434">
        <f t="shared" si="48"/>
        <v>1</v>
      </c>
      <c r="Y434">
        <f t="shared" si="49"/>
        <v>0.05</v>
      </c>
      <c r="Z434">
        <f t="shared" si="50"/>
        <v>985.07400000000007</v>
      </c>
      <c r="AA434">
        <f t="shared" si="51"/>
        <v>140.59400000000005</v>
      </c>
      <c r="AB434" s="6">
        <f t="shared" si="52"/>
        <v>0.14272430294576857</v>
      </c>
      <c r="AC434" t="str">
        <f t="shared" si="53"/>
        <v/>
      </c>
      <c r="AD434" t="str">
        <f t="shared" si="54"/>
        <v/>
      </c>
      <c r="AE434" t="str">
        <f t="shared" si="55"/>
        <v>Invalid</v>
      </c>
    </row>
    <row r="435" spans="1:31">
      <c r="A435" t="s">
        <v>1401</v>
      </c>
      <c r="B435" s="3" t="s">
        <v>2763</v>
      </c>
      <c r="C435" s="3">
        <v>45402</v>
      </c>
      <c r="D435" t="s">
        <v>1402</v>
      </c>
      <c r="E435" t="s">
        <v>114</v>
      </c>
      <c r="F435" t="s">
        <v>90</v>
      </c>
      <c r="G435" t="s">
        <v>54</v>
      </c>
      <c r="H435" t="s">
        <v>185</v>
      </c>
      <c r="I435" t="s">
        <v>186</v>
      </c>
      <c r="J435" t="s">
        <v>28</v>
      </c>
      <c r="K435" t="s">
        <v>48</v>
      </c>
      <c r="L435" t="s">
        <v>1403</v>
      </c>
      <c r="M435" t="s">
        <v>31</v>
      </c>
      <c r="N435">
        <v>4</v>
      </c>
      <c r="O435">
        <v>1540.22</v>
      </c>
      <c r="P435">
        <v>0</v>
      </c>
      <c r="Q435">
        <v>6160.88</v>
      </c>
      <c r="R435">
        <v>4938.7</v>
      </c>
      <c r="S435">
        <v>1222.18</v>
      </c>
      <c r="T435" t="s">
        <v>102</v>
      </c>
      <c r="U435" t="s">
        <v>103</v>
      </c>
      <c r="V435" t="str">
        <f>IF(OR(B435="Invalid Date",C435="Invalid Date"),"Invalid Date",C435-B435)</f>
        <v>Invalid Date</v>
      </c>
      <c r="W435" s="4" t="str">
        <f>IF(OR(B435="Invalid Date",C435="Invalid Date"),"Invalid Date",IF(C435&lt;B435,"Invalid Shipping","OK"))</f>
        <v>Invalid Date</v>
      </c>
      <c r="X435">
        <f t="shared" si="48"/>
        <v>1</v>
      </c>
      <c r="Y435">
        <f t="shared" si="49"/>
        <v>0</v>
      </c>
      <c r="Z435">
        <f t="shared" si="50"/>
        <v>6160.88</v>
      </c>
      <c r="AA435">
        <f t="shared" si="51"/>
        <v>1222.1800000000003</v>
      </c>
      <c r="AB435" s="6">
        <f t="shared" si="52"/>
        <v>0.19837750451234243</v>
      </c>
      <c r="AC435" t="str">
        <f t="shared" si="53"/>
        <v/>
      </c>
      <c r="AD435" t="str">
        <f t="shared" si="54"/>
        <v/>
      </c>
      <c r="AE435" t="str">
        <f t="shared" si="55"/>
        <v>Invalid</v>
      </c>
    </row>
    <row r="436" spans="1:31">
      <c r="A436" t="s">
        <v>1404</v>
      </c>
      <c r="B436" s="3">
        <v>45965</v>
      </c>
      <c r="C436" s="3">
        <v>45762</v>
      </c>
      <c r="D436" t="s">
        <v>1405</v>
      </c>
      <c r="E436" t="s">
        <v>36</v>
      </c>
      <c r="F436" t="s">
        <v>95</v>
      </c>
      <c r="G436" t="s">
        <v>25</v>
      </c>
      <c r="H436" t="s">
        <v>136</v>
      </c>
      <c r="I436" t="s">
        <v>137</v>
      </c>
      <c r="J436" t="s">
        <v>74</v>
      </c>
      <c r="K436" t="s">
        <v>75</v>
      </c>
      <c r="L436" t="s">
        <v>1406</v>
      </c>
      <c r="M436" t="s">
        <v>31</v>
      </c>
      <c r="N436">
        <v>5</v>
      </c>
      <c r="O436">
        <v>652.78</v>
      </c>
      <c r="P436">
        <v>0</v>
      </c>
      <c r="Q436">
        <v>3263.9</v>
      </c>
      <c r="R436">
        <v>2068.44</v>
      </c>
      <c r="S436">
        <v>1195.46</v>
      </c>
      <c r="T436" t="s">
        <v>32</v>
      </c>
      <c r="U436" t="s">
        <v>33</v>
      </c>
      <c r="V436">
        <f>IF(OR(B436="Invalid Date",C436="Invalid Date"),"Invalid Date",C436-B436)</f>
        <v>-203</v>
      </c>
      <c r="W436" s="4" t="str">
        <f>IF(OR(B436="Invalid Date",C436="Invalid Date"),"Invalid Date",IF(C436&lt;B436,"Invalid Shipping","OK"))</f>
        <v>Invalid Shipping</v>
      </c>
      <c r="X436">
        <f t="shared" si="48"/>
        <v>1</v>
      </c>
      <c r="Y436">
        <f t="shared" si="49"/>
        <v>0</v>
      </c>
      <c r="Z436">
        <f t="shared" si="50"/>
        <v>3263.8999999999996</v>
      </c>
      <c r="AA436">
        <f t="shared" si="51"/>
        <v>1195.4599999999996</v>
      </c>
      <c r="AB436" s="6">
        <f t="shared" si="52"/>
        <v>0.3662673488771101</v>
      </c>
      <c r="AC436" t="str">
        <f t="shared" si="53"/>
        <v>November</v>
      </c>
      <c r="AD436">
        <f t="shared" si="54"/>
        <v>2025</v>
      </c>
      <c r="AE436" t="str">
        <f t="shared" si="55"/>
        <v>Invalid</v>
      </c>
    </row>
    <row r="437" spans="1:31">
      <c r="A437" t="s">
        <v>1407</v>
      </c>
      <c r="B437" s="3">
        <v>45759</v>
      </c>
      <c r="C437" s="3">
        <v>45767</v>
      </c>
      <c r="D437" t="s">
        <v>1408</v>
      </c>
      <c r="E437" t="s">
        <v>264</v>
      </c>
      <c r="F437" t="s">
        <v>95</v>
      </c>
      <c r="G437" t="s">
        <v>25</v>
      </c>
      <c r="H437" t="s">
        <v>350</v>
      </c>
      <c r="I437" t="s">
        <v>351</v>
      </c>
      <c r="J437" t="s">
        <v>74</v>
      </c>
      <c r="K437" t="s">
        <v>274</v>
      </c>
      <c r="L437" t="s">
        <v>1409</v>
      </c>
      <c r="M437" t="s">
        <v>59</v>
      </c>
      <c r="N437">
        <v>1</v>
      </c>
      <c r="O437">
        <v>2737.71</v>
      </c>
      <c r="P437">
        <v>0.15</v>
      </c>
      <c r="Q437">
        <v>2327.0500000000002</v>
      </c>
      <c r="R437">
        <v>1919.42</v>
      </c>
      <c r="S437">
        <v>407.63</v>
      </c>
      <c r="T437" t="s">
        <v>32</v>
      </c>
      <c r="U437" t="s">
        <v>68</v>
      </c>
      <c r="V437">
        <f>IF(OR(B437="Invalid Date",C437="Invalid Date"),"Invalid Date",C437-B437)</f>
        <v>8</v>
      </c>
      <c r="W437" s="4" t="str">
        <f>IF(OR(B437="Invalid Date",C437="Invalid Date"),"Invalid Date",IF(C437&lt;B437,"Invalid Shipping","OK"))</f>
        <v>OK</v>
      </c>
      <c r="X437">
        <f t="shared" si="48"/>
        <v>1</v>
      </c>
      <c r="Y437">
        <f t="shared" si="49"/>
        <v>0.15</v>
      </c>
      <c r="Z437">
        <f t="shared" si="50"/>
        <v>2327.0535</v>
      </c>
      <c r="AA437">
        <f t="shared" si="51"/>
        <v>407.63349999999991</v>
      </c>
      <c r="AB437" s="6">
        <f t="shared" si="52"/>
        <v>0.17517152055163318</v>
      </c>
      <c r="AC437" t="str">
        <f t="shared" si="53"/>
        <v>April</v>
      </c>
      <c r="AD437">
        <f t="shared" si="54"/>
        <v>2025</v>
      </c>
      <c r="AE437" t="str">
        <f t="shared" si="55"/>
        <v>Clean</v>
      </c>
    </row>
    <row r="438" spans="1:31">
      <c r="A438" t="s">
        <v>1410</v>
      </c>
      <c r="B438" s="3">
        <v>45459</v>
      </c>
      <c r="C438" s="3">
        <v>45464</v>
      </c>
      <c r="D438" t="s">
        <v>1411</v>
      </c>
      <c r="E438" t="s">
        <v>79</v>
      </c>
      <c r="F438" t="s">
        <v>24</v>
      </c>
      <c r="G438" t="s">
        <v>54</v>
      </c>
      <c r="H438" t="s">
        <v>185</v>
      </c>
      <c r="I438" t="s">
        <v>186</v>
      </c>
      <c r="J438" t="s">
        <v>41</v>
      </c>
      <c r="K438" t="s">
        <v>57</v>
      </c>
      <c r="L438" t="s">
        <v>1412</v>
      </c>
      <c r="M438" t="s">
        <v>44</v>
      </c>
      <c r="N438">
        <v>6</v>
      </c>
      <c r="O438">
        <v>1156.78</v>
      </c>
      <c r="P438">
        <v>0.05</v>
      </c>
      <c r="Q438">
        <v>6593.65</v>
      </c>
      <c r="R438">
        <v>4359.3900000000003</v>
      </c>
      <c r="S438">
        <v>2234.2600000000002</v>
      </c>
      <c r="T438" t="s">
        <v>32</v>
      </c>
      <c r="U438" t="s">
        <v>103</v>
      </c>
      <c r="V438">
        <f>IF(OR(B438="Invalid Date",C438="Invalid Date"),"Invalid Date",C438-B438)</f>
        <v>5</v>
      </c>
      <c r="W438" s="4" t="str">
        <f>IF(OR(B438="Invalid Date",C438="Invalid Date"),"Invalid Date",IF(C438&lt;B438,"Invalid Shipping","OK"))</f>
        <v>OK</v>
      </c>
      <c r="X438">
        <f t="shared" si="48"/>
        <v>1</v>
      </c>
      <c r="Y438">
        <f t="shared" si="49"/>
        <v>0.05</v>
      </c>
      <c r="Z438">
        <f t="shared" si="50"/>
        <v>6593.6459999999997</v>
      </c>
      <c r="AA438">
        <f t="shared" si="51"/>
        <v>2234.2559999999994</v>
      </c>
      <c r="AB438" s="6">
        <f t="shared" si="52"/>
        <v>0.33884985636171544</v>
      </c>
      <c r="AC438" t="str">
        <f t="shared" si="53"/>
        <v>June</v>
      </c>
      <c r="AD438">
        <f t="shared" si="54"/>
        <v>2024</v>
      </c>
      <c r="AE438" t="str">
        <f t="shared" si="55"/>
        <v>Clean</v>
      </c>
    </row>
    <row r="439" spans="1:31">
      <c r="A439" t="s">
        <v>1413</v>
      </c>
      <c r="B439" s="3">
        <v>45337</v>
      </c>
      <c r="C439" s="3">
        <v>45340</v>
      </c>
      <c r="D439" t="s">
        <v>1414</v>
      </c>
      <c r="E439" t="s">
        <v>89</v>
      </c>
      <c r="F439" t="s">
        <v>37</v>
      </c>
      <c r="G439" t="s">
        <v>54</v>
      </c>
      <c r="H439" t="s">
        <v>185</v>
      </c>
      <c r="I439" t="s">
        <v>186</v>
      </c>
      <c r="J439" t="s">
        <v>74</v>
      </c>
      <c r="K439" t="s">
        <v>75</v>
      </c>
      <c r="L439" t="s">
        <v>1415</v>
      </c>
      <c r="M439" t="s">
        <v>44</v>
      </c>
      <c r="N439">
        <v>8</v>
      </c>
      <c r="O439">
        <v>379.82</v>
      </c>
      <c r="P439">
        <v>0.05</v>
      </c>
      <c r="Q439">
        <v>2886.63</v>
      </c>
      <c r="R439">
        <v>1588.23</v>
      </c>
      <c r="S439">
        <v>1298.4000000000001</v>
      </c>
      <c r="T439" t="s">
        <v>155</v>
      </c>
      <c r="U439" t="s">
        <v>103</v>
      </c>
      <c r="V439">
        <f>IF(OR(B439="Invalid Date",C439="Invalid Date"),"Invalid Date",C439-B439)</f>
        <v>3</v>
      </c>
      <c r="W439" s="4" t="str">
        <f>IF(OR(B439="Invalid Date",C439="Invalid Date"),"Invalid Date",IF(C439&lt;B439,"Invalid Shipping","OK"))</f>
        <v>OK</v>
      </c>
      <c r="X439">
        <f t="shared" si="48"/>
        <v>1</v>
      </c>
      <c r="Y439">
        <f t="shared" si="49"/>
        <v>0.05</v>
      </c>
      <c r="Z439">
        <f t="shared" si="50"/>
        <v>2886.6319999999996</v>
      </c>
      <c r="AA439">
        <f t="shared" si="51"/>
        <v>1298.4019999999996</v>
      </c>
      <c r="AB439" s="6">
        <f t="shared" si="52"/>
        <v>0.44979824238073984</v>
      </c>
      <c r="AC439" t="str">
        <f t="shared" si="53"/>
        <v>February</v>
      </c>
      <c r="AD439">
        <f t="shared" si="54"/>
        <v>2024</v>
      </c>
      <c r="AE439" t="str">
        <f t="shared" si="55"/>
        <v>Clean</v>
      </c>
    </row>
    <row r="440" spans="1:31">
      <c r="A440" t="s">
        <v>1416</v>
      </c>
      <c r="B440" s="3">
        <v>45784</v>
      </c>
      <c r="C440" s="3">
        <v>45782</v>
      </c>
      <c r="D440" t="s">
        <v>1417</v>
      </c>
      <c r="E440" t="s">
        <v>79</v>
      </c>
      <c r="F440" t="s">
        <v>90</v>
      </c>
      <c r="G440" t="s">
        <v>38</v>
      </c>
      <c r="H440" t="s">
        <v>228</v>
      </c>
      <c r="I440" t="s">
        <v>229</v>
      </c>
      <c r="J440" t="s">
        <v>74</v>
      </c>
      <c r="K440" t="s">
        <v>171</v>
      </c>
      <c r="L440" t="s">
        <v>1418</v>
      </c>
      <c r="M440" t="s">
        <v>59</v>
      </c>
      <c r="N440">
        <v>1</v>
      </c>
      <c r="O440">
        <v>2266.4699999999998</v>
      </c>
      <c r="P440">
        <v>0.2</v>
      </c>
      <c r="Q440">
        <v>1813.18</v>
      </c>
      <c r="R440">
        <v>1363.64</v>
      </c>
      <c r="S440">
        <v>449.54</v>
      </c>
      <c r="T440" t="s">
        <v>32</v>
      </c>
      <c r="U440" t="s">
        <v>33</v>
      </c>
      <c r="V440">
        <f>IF(OR(B440="Invalid Date",C440="Invalid Date"),"Invalid Date",C440-B440)</f>
        <v>-2</v>
      </c>
      <c r="W440" s="4" t="str">
        <f>IF(OR(B440="Invalid Date",C440="Invalid Date"),"Invalid Date",IF(C440&lt;B440,"Invalid Shipping","OK"))</f>
        <v>Invalid Shipping</v>
      </c>
      <c r="X440">
        <f t="shared" si="48"/>
        <v>1</v>
      </c>
      <c r="Y440">
        <f t="shared" si="49"/>
        <v>0.2</v>
      </c>
      <c r="Z440">
        <f t="shared" si="50"/>
        <v>1813.1759999999999</v>
      </c>
      <c r="AA440">
        <f t="shared" si="51"/>
        <v>449.53599999999983</v>
      </c>
      <c r="AB440" s="6">
        <f t="shared" si="52"/>
        <v>0.24792739370033567</v>
      </c>
      <c r="AC440" t="str">
        <f t="shared" si="53"/>
        <v>May</v>
      </c>
      <c r="AD440">
        <f t="shared" si="54"/>
        <v>2025</v>
      </c>
      <c r="AE440" t="str">
        <f t="shared" si="55"/>
        <v>Invalid</v>
      </c>
    </row>
    <row r="441" spans="1:31">
      <c r="A441" t="s">
        <v>1419</v>
      </c>
      <c r="B441" s="3">
        <v>45838</v>
      </c>
      <c r="C441" s="3">
        <v>45841</v>
      </c>
      <c r="D441" t="s">
        <v>1420</v>
      </c>
      <c r="E441" t="s">
        <v>128</v>
      </c>
      <c r="F441" t="s">
        <v>95</v>
      </c>
      <c r="G441" t="s">
        <v>63</v>
      </c>
      <c r="H441" t="s">
        <v>190</v>
      </c>
      <c r="I441" t="s">
        <v>191</v>
      </c>
      <c r="J441" t="s">
        <v>28</v>
      </c>
      <c r="K441" t="s">
        <v>124</v>
      </c>
      <c r="L441" t="s">
        <v>1421</v>
      </c>
      <c r="M441" t="s">
        <v>44</v>
      </c>
      <c r="N441">
        <v>5</v>
      </c>
      <c r="O441">
        <v>665.25</v>
      </c>
      <c r="P441">
        <v>0</v>
      </c>
      <c r="Q441">
        <v>3326.25</v>
      </c>
      <c r="R441">
        <v>2689.36</v>
      </c>
      <c r="S441">
        <v>636.89</v>
      </c>
      <c r="T441" t="s">
        <v>102</v>
      </c>
      <c r="U441" t="s">
        <v>103</v>
      </c>
      <c r="V441">
        <f>IF(OR(B441="Invalid Date",C441="Invalid Date"),"Invalid Date",C441-B441)</f>
        <v>3</v>
      </c>
      <c r="W441" s="4" t="str">
        <f>IF(OR(B441="Invalid Date",C441="Invalid Date"),"Invalid Date",IF(C441&lt;B441,"Invalid Shipping","OK"))</f>
        <v>OK</v>
      </c>
      <c r="X441">
        <f t="shared" si="48"/>
        <v>1</v>
      </c>
      <c r="Y441">
        <f t="shared" si="49"/>
        <v>0</v>
      </c>
      <c r="Z441">
        <f t="shared" si="50"/>
        <v>3326.25</v>
      </c>
      <c r="AA441">
        <f t="shared" si="51"/>
        <v>636.88999999999987</v>
      </c>
      <c r="AB441" s="6">
        <f t="shared" si="52"/>
        <v>0.19147388199924836</v>
      </c>
      <c r="AC441" t="str">
        <f t="shared" si="53"/>
        <v>June</v>
      </c>
      <c r="AD441">
        <f t="shared" si="54"/>
        <v>2025</v>
      </c>
      <c r="AE441" t="str">
        <f t="shared" si="55"/>
        <v>Clean</v>
      </c>
    </row>
    <row r="442" spans="1:31">
      <c r="A442" t="s">
        <v>1422</v>
      </c>
      <c r="B442" s="3">
        <v>45326</v>
      </c>
      <c r="C442" s="3">
        <v>45508</v>
      </c>
      <c r="D442" t="s">
        <v>270</v>
      </c>
      <c r="E442" t="s">
        <v>71</v>
      </c>
      <c r="F442" t="s">
        <v>90</v>
      </c>
      <c r="G442" t="s">
        <v>38</v>
      </c>
      <c r="H442" t="s">
        <v>39</v>
      </c>
      <c r="I442" t="s">
        <v>40</v>
      </c>
      <c r="J442" t="s">
        <v>74</v>
      </c>
      <c r="K442" t="s">
        <v>274</v>
      </c>
      <c r="L442" t="s">
        <v>1423</v>
      </c>
      <c r="M442" t="s">
        <v>31</v>
      </c>
      <c r="N442">
        <v>6</v>
      </c>
      <c r="O442">
        <v>3722.84</v>
      </c>
      <c r="P442">
        <v>0.2</v>
      </c>
      <c r="Q442">
        <v>17869.63</v>
      </c>
      <c r="R442">
        <v>12163.8</v>
      </c>
      <c r="S442">
        <v>5705.83</v>
      </c>
      <c r="T442" t="s">
        <v>32</v>
      </c>
      <c r="U442" t="s">
        <v>33</v>
      </c>
      <c r="V442">
        <f>IF(OR(B442="Invalid Date",C442="Invalid Date"),"Invalid Date",C442-B442)</f>
        <v>182</v>
      </c>
      <c r="W442" s="4" t="str">
        <f>IF(OR(B442="Invalid Date",C442="Invalid Date"),"Invalid Date",IF(C442&lt;B442,"Invalid Shipping","OK"))</f>
        <v>OK</v>
      </c>
      <c r="X442">
        <f t="shared" si="48"/>
        <v>1</v>
      </c>
      <c r="Y442">
        <f t="shared" si="49"/>
        <v>0.2</v>
      </c>
      <c r="Z442">
        <f t="shared" si="50"/>
        <v>17869.632000000001</v>
      </c>
      <c r="AA442">
        <f t="shared" si="51"/>
        <v>5705.8320000000022</v>
      </c>
      <c r="AB442" s="6">
        <f t="shared" si="52"/>
        <v>0.31930327384469931</v>
      </c>
      <c r="AC442" t="str">
        <f t="shared" si="53"/>
        <v>February</v>
      </c>
      <c r="AD442">
        <f t="shared" si="54"/>
        <v>2024</v>
      </c>
      <c r="AE442" t="str">
        <f t="shared" si="55"/>
        <v>Clean</v>
      </c>
    </row>
    <row r="443" spans="1:31">
      <c r="A443" t="s">
        <v>1424</v>
      </c>
      <c r="B443" s="3">
        <v>45568</v>
      </c>
      <c r="C443" s="3">
        <v>45568</v>
      </c>
      <c r="D443" t="s">
        <v>1425</v>
      </c>
      <c r="E443" t="s">
        <v>23</v>
      </c>
      <c r="F443" t="s">
        <v>24</v>
      </c>
      <c r="G443" t="s">
        <v>38</v>
      </c>
      <c r="H443" t="s">
        <v>145</v>
      </c>
      <c r="I443" t="s">
        <v>146</v>
      </c>
      <c r="J443" t="s">
        <v>41</v>
      </c>
      <c r="K443" t="s">
        <v>158</v>
      </c>
      <c r="L443" t="s">
        <v>1426</v>
      </c>
      <c r="M443" t="s">
        <v>59</v>
      </c>
      <c r="N443">
        <v>6</v>
      </c>
      <c r="O443">
        <v>4217.49</v>
      </c>
      <c r="P443">
        <v>0</v>
      </c>
      <c r="Q443">
        <v>25304.94</v>
      </c>
      <c r="R443">
        <v>20771.95</v>
      </c>
      <c r="S443">
        <v>4532.99</v>
      </c>
      <c r="T443" t="s">
        <v>32</v>
      </c>
      <c r="U443" t="s">
        <v>68</v>
      </c>
      <c r="V443">
        <f>IF(OR(B443="Invalid Date",C443="Invalid Date"),"Invalid Date",C443-B443)</f>
        <v>0</v>
      </c>
      <c r="W443" s="4" t="str">
        <f>IF(OR(B443="Invalid Date",C443="Invalid Date"),"Invalid Date",IF(C443&lt;B443,"Invalid Shipping","OK"))</f>
        <v>OK</v>
      </c>
      <c r="X443">
        <f t="shared" si="48"/>
        <v>1</v>
      </c>
      <c r="Y443">
        <f t="shared" si="49"/>
        <v>0</v>
      </c>
      <c r="Z443">
        <f t="shared" si="50"/>
        <v>25304.94</v>
      </c>
      <c r="AA443">
        <f t="shared" si="51"/>
        <v>4532.989999999998</v>
      </c>
      <c r="AB443" s="6">
        <f t="shared" si="52"/>
        <v>0.17913458795002077</v>
      </c>
      <c r="AC443" t="str">
        <f t="shared" si="53"/>
        <v>October</v>
      </c>
      <c r="AD443">
        <f t="shared" si="54"/>
        <v>2024</v>
      </c>
      <c r="AE443" t="str">
        <f t="shared" si="55"/>
        <v>Clean</v>
      </c>
    </row>
    <row r="444" spans="1:31">
      <c r="A444" t="s">
        <v>1427</v>
      </c>
      <c r="B444" s="3">
        <v>45669</v>
      </c>
      <c r="C444" s="3">
        <v>45676</v>
      </c>
      <c r="D444" t="s">
        <v>1428</v>
      </c>
      <c r="E444" t="s">
        <v>128</v>
      </c>
      <c r="F444" t="s">
        <v>24</v>
      </c>
      <c r="G444" t="s">
        <v>38</v>
      </c>
      <c r="H444" t="s">
        <v>228</v>
      </c>
      <c r="I444" t="s">
        <v>229</v>
      </c>
      <c r="J444" t="s">
        <v>41</v>
      </c>
      <c r="K444" t="s">
        <v>42</v>
      </c>
      <c r="L444" t="s">
        <v>1429</v>
      </c>
      <c r="M444" t="s">
        <v>50</v>
      </c>
      <c r="N444">
        <v>1</v>
      </c>
      <c r="O444">
        <v>1842.31</v>
      </c>
      <c r="P444">
        <v>0</v>
      </c>
      <c r="Q444">
        <v>1842.31</v>
      </c>
      <c r="R444">
        <v>1019.17</v>
      </c>
      <c r="S444">
        <v>823.14</v>
      </c>
      <c r="T444" t="s">
        <v>32</v>
      </c>
      <c r="U444" t="s">
        <v>33</v>
      </c>
      <c r="V444">
        <f>IF(OR(B444="Invalid Date",C444="Invalid Date"),"Invalid Date",C444-B444)</f>
        <v>7</v>
      </c>
      <c r="W444" s="4" t="str">
        <f>IF(OR(B444="Invalid Date",C444="Invalid Date"),"Invalid Date",IF(C444&lt;B444,"Invalid Shipping","OK"))</f>
        <v>OK</v>
      </c>
      <c r="X444">
        <f t="shared" si="48"/>
        <v>1</v>
      </c>
      <c r="Y444">
        <f t="shared" si="49"/>
        <v>0</v>
      </c>
      <c r="Z444">
        <f t="shared" si="50"/>
        <v>1842.31</v>
      </c>
      <c r="AA444">
        <f t="shared" si="51"/>
        <v>823.14</v>
      </c>
      <c r="AB444" s="6">
        <f t="shared" si="52"/>
        <v>0.44679777019068451</v>
      </c>
      <c r="AC444" t="str">
        <f t="shared" si="53"/>
        <v>January</v>
      </c>
      <c r="AD444">
        <f t="shared" si="54"/>
        <v>2025</v>
      </c>
      <c r="AE444" t="str">
        <f t="shared" si="55"/>
        <v>Clean</v>
      </c>
    </row>
    <row r="445" spans="1:31">
      <c r="A445" t="s">
        <v>1430</v>
      </c>
      <c r="B445" s="3">
        <v>45386</v>
      </c>
      <c r="C445" s="3">
        <v>45389</v>
      </c>
      <c r="D445" t="s">
        <v>1431</v>
      </c>
      <c r="E445" t="s">
        <v>141</v>
      </c>
      <c r="F445" t="s">
        <v>95</v>
      </c>
      <c r="G445" t="s">
        <v>38</v>
      </c>
      <c r="H445" t="s">
        <v>39</v>
      </c>
      <c r="I445" t="s">
        <v>40</v>
      </c>
      <c r="J445" t="s">
        <v>41</v>
      </c>
      <c r="K445" t="s">
        <v>57</v>
      </c>
      <c r="L445" t="s">
        <v>1432</v>
      </c>
      <c r="M445" t="s">
        <v>50</v>
      </c>
      <c r="N445">
        <v>1</v>
      </c>
      <c r="O445">
        <v>3683.75</v>
      </c>
      <c r="P445">
        <v>0.1</v>
      </c>
      <c r="Q445">
        <v>3315.38</v>
      </c>
      <c r="R445">
        <v>2347.6799999999998</v>
      </c>
      <c r="S445">
        <v>967.7</v>
      </c>
      <c r="T445" t="s">
        <v>32</v>
      </c>
      <c r="U445" t="s">
        <v>33</v>
      </c>
      <c r="V445">
        <f>IF(OR(B445="Invalid Date",C445="Invalid Date"),"Invalid Date",C445-B445)</f>
        <v>3</v>
      </c>
      <c r="W445" s="4" t="str">
        <f>IF(OR(B445="Invalid Date",C445="Invalid Date"),"Invalid Date",IF(C445&lt;B445,"Invalid Shipping","OK"))</f>
        <v>OK</v>
      </c>
      <c r="X445">
        <f t="shared" si="48"/>
        <v>1</v>
      </c>
      <c r="Y445">
        <f t="shared" si="49"/>
        <v>0.1</v>
      </c>
      <c r="Z445">
        <f t="shared" si="50"/>
        <v>3315.375</v>
      </c>
      <c r="AA445">
        <f t="shared" si="51"/>
        <v>967.69500000000016</v>
      </c>
      <c r="AB445" s="6">
        <f t="shared" si="52"/>
        <v>0.29188100893564084</v>
      </c>
      <c r="AC445" t="str">
        <f t="shared" si="53"/>
        <v>April</v>
      </c>
      <c r="AD445">
        <f t="shared" si="54"/>
        <v>2024</v>
      </c>
      <c r="AE445" t="str">
        <f t="shared" si="55"/>
        <v>Clean</v>
      </c>
    </row>
    <row r="446" spans="1:31">
      <c r="A446" t="s">
        <v>1433</v>
      </c>
      <c r="B446" s="3">
        <v>45881</v>
      </c>
      <c r="C446" s="3">
        <v>45885</v>
      </c>
      <c r="D446" t="s">
        <v>1434</v>
      </c>
      <c r="E446" t="s">
        <v>62</v>
      </c>
      <c r="F446" t="s">
        <v>24</v>
      </c>
      <c r="G446" t="s">
        <v>38</v>
      </c>
      <c r="H446" t="s">
        <v>166</v>
      </c>
      <c r="I446" t="s">
        <v>167</v>
      </c>
      <c r="J446" t="s">
        <v>74</v>
      </c>
      <c r="K446" t="s">
        <v>75</v>
      </c>
      <c r="L446" t="s">
        <v>1435</v>
      </c>
      <c r="M446" t="s">
        <v>44</v>
      </c>
      <c r="N446">
        <v>9</v>
      </c>
      <c r="O446">
        <v>2379.2399999999998</v>
      </c>
      <c r="P446">
        <v>0.05</v>
      </c>
      <c r="Q446">
        <v>20342.5</v>
      </c>
      <c r="R446">
        <v>12407.51</v>
      </c>
      <c r="S446">
        <v>7934.99</v>
      </c>
      <c r="T446" t="s">
        <v>32</v>
      </c>
      <c r="U446" t="s">
        <v>33</v>
      </c>
      <c r="V446">
        <f>IF(OR(B446="Invalid Date",C446="Invalid Date"),"Invalid Date",C446-B446)</f>
        <v>4</v>
      </c>
      <c r="W446" s="4" t="str">
        <f>IF(OR(B446="Invalid Date",C446="Invalid Date"),"Invalid Date",IF(C446&lt;B446,"Invalid Shipping","OK"))</f>
        <v>OK</v>
      </c>
      <c r="X446">
        <f t="shared" si="48"/>
        <v>1</v>
      </c>
      <c r="Y446">
        <f t="shared" si="49"/>
        <v>0.05</v>
      </c>
      <c r="Z446">
        <f t="shared" si="50"/>
        <v>20342.501999999997</v>
      </c>
      <c r="AA446">
        <f t="shared" si="51"/>
        <v>7934.9919999999966</v>
      </c>
      <c r="AB446" s="6">
        <f t="shared" si="52"/>
        <v>0.39006961877157481</v>
      </c>
      <c r="AC446" t="str">
        <f t="shared" si="53"/>
        <v>August</v>
      </c>
      <c r="AD446">
        <f t="shared" si="54"/>
        <v>2025</v>
      </c>
      <c r="AE446" t="str">
        <f t="shared" si="55"/>
        <v>Clean</v>
      </c>
    </row>
    <row r="447" spans="1:31">
      <c r="A447" t="s">
        <v>1436</v>
      </c>
      <c r="B447" s="3">
        <v>45540</v>
      </c>
      <c r="C447" s="3">
        <v>45417</v>
      </c>
      <c r="D447" t="s">
        <v>1437</v>
      </c>
      <c r="E447" t="s">
        <v>53</v>
      </c>
      <c r="F447" t="s">
        <v>24</v>
      </c>
      <c r="G447" t="s">
        <v>38</v>
      </c>
      <c r="H447" t="s">
        <v>166</v>
      </c>
      <c r="I447" t="s">
        <v>167</v>
      </c>
      <c r="J447" t="s">
        <v>41</v>
      </c>
      <c r="K447" t="s">
        <v>158</v>
      </c>
      <c r="L447" t="s">
        <v>1438</v>
      </c>
      <c r="M447" t="s">
        <v>44</v>
      </c>
      <c r="N447">
        <v>2</v>
      </c>
      <c r="O447">
        <v>2111.23</v>
      </c>
      <c r="P447">
        <v>0.2</v>
      </c>
      <c r="Q447">
        <v>3377.97</v>
      </c>
      <c r="R447">
        <v>2496.29</v>
      </c>
      <c r="S447">
        <v>881.68</v>
      </c>
      <c r="T447" t="s">
        <v>32</v>
      </c>
      <c r="U447" t="s">
        <v>33</v>
      </c>
      <c r="V447">
        <f>IF(OR(B447="Invalid Date",C447="Invalid Date"),"Invalid Date",C447-B447)</f>
        <v>-123</v>
      </c>
      <c r="W447" s="4" t="str">
        <f>IF(OR(B447="Invalid Date",C447="Invalid Date"),"Invalid Date",IF(C447&lt;B447,"Invalid Shipping","OK"))</f>
        <v>Invalid Shipping</v>
      </c>
      <c r="X447">
        <f t="shared" si="48"/>
        <v>1</v>
      </c>
      <c r="Y447">
        <f t="shared" si="49"/>
        <v>0.2</v>
      </c>
      <c r="Z447">
        <f t="shared" si="50"/>
        <v>3377.9680000000003</v>
      </c>
      <c r="AA447">
        <f t="shared" si="51"/>
        <v>881.67800000000034</v>
      </c>
      <c r="AB447" s="6">
        <f t="shared" si="52"/>
        <v>0.26100839321154029</v>
      </c>
      <c r="AC447" t="str">
        <f t="shared" si="53"/>
        <v>September</v>
      </c>
      <c r="AD447">
        <f t="shared" si="54"/>
        <v>2024</v>
      </c>
      <c r="AE447" t="str">
        <f t="shared" si="55"/>
        <v>Invalid</v>
      </c>
    </row>
    <row r="448" spans="1:31">
      <c r="A448" t="s">
        <v>1439</v>
      </c>
      <c r="B448" s="3">
        <v>45918</v>
      </c>
      <c r="C448" s="3">
        <v>45919</v>
      </c>
      <c r="D448" t="s">
        <v>1440</v>
      </c>
      <c r="E448" t="s">
        <v>132</v>
      </c>
      <c r="F448" t="s">
        <v>95</v>
      </c>
      <c r="G448" t="s">
        <v>54</v>
      </c>
      <c r="H448" t="s">
        <v>84</v>
      </c>
      <c r="I448" t="s">
        <v>85</v>
      </c>
      <c r="J448" t="s">
        <v>28</v>
      </c>
      <c r="K448" t="s">
        <v>124</v>
      </c>
      <c r="L448" t="s">
        <v>1441</v>
      </c>
      <c r="M448" t="s">
        <v>44</v>
      </c>
      <c r="N448">
        <v>8</v>
      </c>
      <c r="O448">
        <v>4242.51</v>
      </c>
      <c r="P448">
        <v>0</v>
      </c>
      <c r="Q448">
        <v>33940.080000000002</v>
      </c>
      <c r="R448">
        <v>23754.19</v>
      </c>
      <c r="S448">
        <v>10185.89</v>
      </c>
      <c r="T448" t="s">
        <v>32</v>
      </c>
      <c r="U448" t="s">
        <v>33</v>
      </c>
      <c r="V448">
        <f>IF(OR(B448="Invalid Date",C448="Invalid Date"),"Invalid Date",C448-B448)</f>
        <v>1</v>
      </c>
      <c r="W448" s="4" t="str">
        <f>IF(OR(B448="Invalid Date",C448="Invalid Date"),"Invalid Date",IF(C448&lt;B448,"Invalid Shipping","OK"))</f>
        <v>OK</v>
      </c>
      <c r="X448">
        <f t="shared" si="48"/>
        <v>1</v>
      </c>
      <c r="Y448">
        <f t="shared" si="49"/>
        <v>0</v>
      </c>
      <c r="Z448">
        <f t="shared" si="50"/>
        <v>33940.080000000002</v>
      </c>
      <c r="AA448">
        <f t="shared" si="51"/>
        <v>10185.890000000003</v>
      </c>
      <c r="AB448" s="6">
        <f t="shared" si="52"/>
        <v>0.30011390662603044</v>
      </c>
      <c r="AC448" t="str">
        <f t="shared" si="53"/>
        <v>September</v>
      </c>
      <c r="AD448">
        <f t="shared" si="54"/>
        <v>2025</v>
      </c>
      <c r="AE448" t="str">
        <f t="shared" si="55"/>
        <v>Clean</v>
      </c>
    </row>
    <row r="449" spans="1:31">
      <c r="A449" t="s">
        <v>1442</v>
      </c>
      <c r="B449" s="3">
        <v>45879</v>
      </c>
      <c r="C449" s="3">
        <v>45879</v>
      </c>
      <c r="D449" t="s">
        <v>1443</v>
      </c>
      <c r="E449" t="s">
        <v>141</v>
      </c>
      <c r="F449" t="s">
        <v>95</v>
      </c>
      <c r="G449" t="s">
        <v>54</v>
      </c>
      <c r="H449" t="s">
        <v>55</v>
      </c>
      <c r="I449" t="s">
        <v>56</v>
      </c>
      <c r="J449" t="s">
        <v>41</v>
      </c>
      <c r="K449" t="s">
        <v>158</v>
      </c>
      <c r="L449" t="s">
        <v>1444</v>
      </c>
      <c r="M449" t="s">
        <v>59</v>
      </c>
      <c r="N449">
        <v>6</v>
      </c>
      <c r="O449">
        <v>4288.7</v>
      </c>
      <c r="P449">
        <v>0.15</v>
      </c>
      <c r="Q449">
        <v>21872.37</v>
      </c>
      <c r="R449">
        <v>13829.5</v>
      </c>
      <c r="S449">
        <v>8042.87</v>
      </c>
      <c r="T449" t="s">
        <v>111</v>
      </c>
      <c r="U449" t="s">
        <v>103</v>
      </c>
      <c r="V449">
        <f>IF(OR(B449="Invalid Date",C449="Invalid Date"),"Invalid Date",C449-B449)</f>
        <v>0</v>
      </c>
      <c r="W449" s="4" t="str">
        <f>IF(OR(B449="Invalid Date",C449="Invalid Date"),"Invalid Date",IF(C449&lt;B449,"Invalid Shipping","OK"))</f>
        <v>OK</v>
      </c>
      <c r="X449">
        <f t="shared" si="48"/>
        <v>1</v>
      </c>
      <c r="Y449">
        <f t="shared" si="49"/>
        <v>0.15</v>
      </c>
      <c r="Z449">
        <f t="shared" si="50"/>
        <v>21872.369999999995</v>
      </c>
      <c r="AA449">
        <f t="shared" si="51"/>
        <v>8042.8699999999953</v>
      </c>
      <c r="AB449" s="6">
        <f t="shared" si="52"/>
        <v>0.36771826738483288</v>
      </c>
      <c r="AC449" t="str">
        <f t="shared" si="53"/>
        <v>August</v>
      </c>
      <c r="AD449">
        <f t="shared" si="54"/>
        <v>2025</v>
      </c>
      <c r="AE449" t="str">
        <f t="shared" si="55"/>
        <v>Clean</v>
      </c>
    </row>
    <row r="450" spans="1:31">
      <c r="A450" t="s">
        <v>1445</v>
      </c>
      <c r="B450" s="3" t="s">
        <v>2763</v>
      </c>
      <c r="C450" s="3">
        <v>45309</v>
      </c>
      <c r="D450" t="s">
        <v>1446</v>
      </c>
      <c r="E450" t="s">
        <v>36</v>
      </c>
      <c r="F450" t="s">
        <v>37</v>
      </c>
      <c r="G450" t="s">
        <v>54</v>
      </c>
      <c r="H450" t="s">
        <v>84</v>
      </c>
      <c r="I450" t="s">
        <v>85</v>
      </c>
      <c r="J450" t="s">
        <v>41</v>
      </c>
      <c r="K450" t="s">
        <v>66</v>
      </c>
      <c r="L450" t="s">
        <v>1447</v>
      </c>
      <c r="M450" t="s">
        <v>50</v>
      </c>
      <c r="N450">
        <v>2</v>
      </c>
      <c r="O450">
        <v>201.21</v>
      </c>
      <c r="P450">
        <v>0.15</v>
      </c>
      <c r="Q450">
        <v>342.06</v>
      </c>
      <c r="R450">
        <v>244.57</v>
      </c>
      <c r="S450">
        <v>97.49</v>
      </c>
      <c r="T450" t="s">
        <v>32</v>
      </c>
      <c r="U450" t="s">
        <v>33</v>
      </c>
      <c r="V450" t="str">
        <f>IF(OR(B450="Invalid Date",C450="Invalid Date"),"Invalid Date",C450-B450)</f>
        <v>Invalid Date</v>
      </c>
      <c r="W450" s="4" t="str">
        <f>IF(OR(B450="Invalid Date",C450="Invalid Date"),"Invalid Date",IF(C450&lt;B450,"Invalid Shipping","OK"))</f>
        <v>Invalid Date</v>
      </c>
      <c r="X450">
        <f t="shared" si="48"/>
        <v>1</v>
      </c>
      <c r="Y450">
        <f t="shared" si="49"/>
        <v>0.15</v>
      </c>
      <c r="Z450">
        <f t="shared" si="50"/>
        <v>342.05700000000002</v>
      </c>
      <c r="AA450">
        <f t="shared" si="51"/>
        <v>97.487000000000023</v>
      </c>
      <c r="AB450" s="6">
        <f t="shared" si="52"/>
        <v>0.28500220723446684</v>
      </c>
      <c r="AC450" t="str">
        <f t="shared" si="53"/>
        <v/>
      </c>
      <c r="AD450" t="str">
        <f t="shared" si="54"/>
        <v/>
      </c>
      <c r="AE450" t="str">
        <f t="shared" si="55"/>
        <v>Invalid</v>
      </c>
    </row>
    <row r="451" spans="1:31">
      <c r="A451" t="s">
        <v>1448</v>
      </c>
      <c r="B451" s="3">
        <v>45449</v>
      </c>
      <c r="C451" s="3">
        <v>45456</v>
      </c>
      <c r="D451" t="s">
        <v>1342</v>
      </c>
      <c r="E451" t="s">
        <v>89</v>
      </c>
      <c r="F451" t="s">
        <v>90</v>
      </c>
      <c r="G451" t="s">
        <v>38</v>
      </c>
      <c r="H451" t="s">
        <v>166</v>
      </c>
      <c r="I451" t="s">
        <v>167</v>
      </c>
      <c r="J451" t="s">
        <v>74</v>
      </c>
      <c r="K451" t="s">
        <v>274</v>
      </c>
      <c r="L451" t="s">
        <v>1449</v>
      </c>
      <c r="M451" t="s">
        <v>31</v>
      </c>
      <c r="N451">
        <v>6</v>
      </c>
      <c r="O451">
        <v>3270.36</v>
      </c>
      <c r="P451">
        <v>0</v>
      </c>
      <c r="Q451">
        <v>19622.16</v>
      </c>
      <c r="R451">
        <v>14271.27</v>
      </c>
      <c r="S451">
        <v>5350.89</v>
      </c>
      <c r="T451" t="s">
        <v>32</v>
      </c>
      <c r="U451" t="s">
        <v>33</v>
      </c>
      <c r="V451">
        <f>IF(OR(B451="Invalid Date",C451="Invalid Date"),"Invalid Date",C451-B451)</f>
        <v>7</v>
      </c>
      <c r="W451" s="4" t="str">
        <f>IF(OR(B451="Invalid Date",C451="Invalid Date"),"Invalid Date",IF(C451&lt;B451,"Invalid Shipping","OK"))</f>
        <v>OK</v>
      </c>
      <c r="X451">
        <f t="shared" ref="X451:X514" si="56">COUNTIF($A:$A,A451)</f>
        <v>1</v>
      </c>
      <c r="Y451">
        <f t="shared" ref="Y451:Y514" si="57">IF(P451="",0,IF(OR(P451&lt;0,P451&gt;1),"Invalid",P451))</f>
        <v>0</v>
      </c>
      <c r="Z451">
        <f t="shared" ref="Z451:Z514" si="58">IF(ISTEXT(Y451),"",N451*O451*(1-Y451))</f>
        <v>19622.16</v>
      </c>
      <c r="AA451">
        <f t="shared" ref="AA451:AA514" si="59">IF(Z451="","",Z451-R451)</f>
        <v>5350.8899999999994</v>
      </c>
      <c r="AB451" s="6">
        <f t="shared" ref="AB451:AB514" si="60">IF(OR(Z451="",Z451=0),"",AA451/Z451)</f>
        <v>0.27269627808559299</v>
      </c>
      <c r="AC451" t="str">
        <f t="shared" ref="AC451:AC514" si="61">IF(ISNUMBER(B451),TEXT(B451,"mmmm"),"")</f>
        <v>June</v>
      </c>
      <c r="AD451">
        <f t="shared" ref="AD451:AD514" si="62">IF(ISNUMBER(B451),YEAR(B451),"")</f>
        <v>2024</v>
      </c>
      <c r="AE451" t="str">
        <f t="shared" ref="AE451:AE514" si="63">IF(OR(B451="Invalid Date",C451="Invalid Date",W451="Invalid Date",W451="Invalid Shipping",Y451="Invalid"),"Invalid",IF(OR(G451="Unknown",M451="Unknown"),"Warning","Clean"))</f>
        <v>Clean</v>
      </c>
    </row>
    <row r="452" spans="1:31">
      <c r="A452" t="s">
        <v>1450</v>
      </c>
      <c r="B452" s="3">
        <v>45997</v>
      </c>
      <c r="C452" s="3">
        <v>45827</v>
      </c>
      <c r="D452" t="s">
        <v>1451</v>
      </c>
      <c r="E452" t="s">
        <v>62</v>
      </c>
      <c r="F452" t="s">
        <v>90</v>
      </c>
      <c r="G452" t="s">
        <v>25</v>
      </c>
      <c r="H452" t="s">
        <v>350</v>
      </c>
      <c r="I452" t="s">
        <v>351</v>
      </c>
      <c r="J452" t="s">
        <v>41</v>
      </c>
      <c r="K452" t="s">
        <v>66</v>
      </c>
      <c r="L452" t="s">
        <v>1452</v>
      </c>
      <c r="M452" t="s">
        <v>59</v>
      </c>
      <c r="N452">
        <v>9</v>
      </c>
      <c r="O452">
        <v>2278.5700000000002</v>
      </c>
      <c r="P452">
        <v>0.25</v>
      </c>
      <c r="Q452">
        <v>15380.35</v>
      </c>
      <c r="R452">
        <v>9907.3700000000008</v>
      </c>
      <c r="S452">
        <v>5472.98</v>
      </c>
      <c r="T452" t="s">
        <v>32</v>
      </c>
      <c r="U452" t="s">
        <v>33</v>
      </c>
      <c r="V452">
        <f>IF(OR(B452="Invalid Date",C452="Invalid Date"),"Invalid Date",C452-B452)</f>
        <v>-170</v>
      </c>
      <c r="W452" s="4" t="str">
        <f>IF(OR(B452="Invalid Date",C452="Invalid Date"),"Invalid Date",IF(C452&lt;B452,"Invalid Shipping","OK"))</f>
        <v>Invalid Shipping</v>
      </c>
      <c r="X452">
        <f t="shared" si="56"/>
        <v>1</v>
      </c>
      <c r="Y452">
        <f t="shared" si="57"/>
        <v>0.25</v>
      </c>
      <c r="Z452">
        <f t="shared" si="58"/>
        <v>15380.3475</v>
      </c>
      <c r="AA452">
        <f t="shared" si="59"/>
        <v>5472.9774999999991</v>
      </c>
      <c r="AB452" s="6">
        <f t="shared" si="60"/>
        <v>0.35584225258889624</v>
      </c>
      <c r="AC452" t="str">
        <f t="shared" si="61"/>
        <v>December</v>
      </c>
      <c r="AD452">
        <f t="shared" si="62"/>
        <v>2025</v>
      </c>
      <c r="AE452" t="str">
        <f t="shared" si="63"/>
        <v>Invalid</v>
      </c>
    </row>
    <row r="453" spans="1:31">
      <c r="A453" t="s">
        <v>1453</v>
      </c>
      <c r="B453" s="3">
        <v>45375</v>
      </c>
      <c r="C453" s="3">
        <v>45377</v>
      </c>
      <c r="D453" t="s">
        <v>1454</v>
      </c>
      <c r="E453" t="s">
        <v>141</v>
      </c>
      <c r="F453" t="s">
        <v>37</v>
      </c>
      <c r="G453" t="s">
        <v>25</v>
      </c>
      <c r="H453" t="s">
        <v>236</v>
      </c>
      <c r="I453" t="s">
        <v>237</v>
      </c>
      <c r="J453" t="s">
        <v>28</v>
      </c>
      <c r="K453" t="s">
        <v>29</v>
      </c>
      <c r="L453" t="s">
        <v>1455</v>
      </c>
      <c r="M453" t="s">
        <v>31</v>
      </c>
      <c r="N453">
        <v>8</v>
      </c>
      <c r="O453">
        <v>1917.64</v>
      </c>
      <c r="P453">
        <v>0.15</v>
      </c>
      <c r="Q453">
        <v>13039.95</v>
      </c>
      <c r="R453">
        <v>11127.82</v>
      </c>
      <c r="S453">
        <v>1912.13</v>
      </c>
      <c r="T453" t="s">
        <v>32</v>
      </c>
      <c r="U453" t="s">
        <v>68</v>
      </c>
      <c r="V453">
        <f>IF(OR(B453="Invalid Date",C453="Invalid Date"),"Invalid Date",C453-B453)</f>
        <v>2</v>
      </c>
      <c r="W453" s="4" t="str">
        <f>IF(OR(B453="Invalid Date",C453="Invalid Date"),"Invalid Date",IF(C453&lt;B453,"Invalid Shipping","OK"))</f>
        <v>OK</v>
      </c>
      <c r="X453">
        <f t="shared" si="56"/>
        <v>1</v>
      </c>
      <c r="Y453">
        <f t="shared" si="57"/>
        <v>0.15</v>
      </c>
      <c r="Z453">
        <f t="shared" si="58"/>
        <v>13039.952000000001</v>
      </c>
      <c r="AA453">
        <f t="shared" si="59"/>
        <v>1912.1320000000014</v>
      </c>
      <c r="AB453" s="6">
        <f t="shared" si="60"/>
        <v>0.1466364293365498</v>
      </c>
      <c r="AC453" t="str">
        <f t="shared" si="61"/>
        <v>March</v>
      </c>
      <c r="AD453">
        <f t="shared" si="62"/>
        <v>2024</v>
      </c>
      <c r="AE453" t="str">
        <f t="shared" si="63"/>
        <v>Clean</v>
      </c>
    </row>
    <row r="454" spans="1:31">
      <c r="A454" t="s">
        <v>1456</v>
      </c>
      <c r="B454" s="3">
        <v>45422</v>
      </c>
      <c r="C454" s="3">
        <v>45428</v>
      </c>
      <c r="D454" t="s">
        <v>1457</v>
      </c>
      <c r="E454" t="s">
        <v>162</v>
      </c>
      <c r="F454" t="s">
        <v>95</v>
      </c>
      <c r="G454" t="s">
        <v>38</v>
      </c>
      <c r="H454" t="s">
        <v>228</v>
      </c>
      <c r="I454" t="s">
        <v>229</v>
      </c>
      <c r="J454" t="s">
        <v>74</v>
      </c>
      <c r="K454" t="s">
        <v>75</v>
      </c>
      <c r="L454" t="s">
        <v>1458</v>
      </c>
      <c r="M454" t="s">
        <v>31</v>
      </c>
      <c r="N454">
        <v>6</v>
      </c>
      <c r="O454">
        <v>2013.33</v>
      </c>
      <c r="P454">
        <v>0.2</v>
      </c>
      <c r="Q454">
        <v>9663.98</v>
      </c>
      <c r="R454">
        <v>5628.93</v>
      </c>
      <c r="S454">
        <v>4035.05</v>
      </c>
      <c r="T454" t="s">
        <v>32</v>
      </c>
      <c r="U454" t="s">
        <v>33</v>
      </c>
      <c r="V454">
        <f>IF(OR(B454="Invalid Date",C454="Invalid Date"),"Invalid Date",C454-B454)</f>
        <v>6</v>
      </c>
      <c r="W454" s="4" t="str">
        <f>IF(OR(B454="Invalid Date",C454="Invalid Date"),"Invalid Date",IF(C454&lt;B454,"Invalid Shipping","OK"))</f>
        <v>OK</v>
      </c>
      <c r="X454">
        <f t="shared" si="56"/>
        <v>1</v>
      </c>
      <c r="Y454">
        <f t="shared" si="57"/>
        <v>0.2</v>
      </c>
      <c r="Z454">
        <f t="shared" si="58"/>
        <v>9663.9840000000004</v>
      </c>
      <c r="AA454">
        <f t="shared" si="59"/>
        <v>4035.0540000000001</v>
      </c>
      <c r="AB454" s="6">
        <f t="shared" si="60"/>
        <v>0.41753525254180884</v>
      </c>
      <c r="AC454" t="str">
        <f t="shared" si="61"/>
        <v>May</v>
      </c>
      <c r="AD454">
        <f t="shared" si="62"/>
        <v>2024</v>
      </c>
      <c r="AE454" t="str">
        <f t="shared" si="63"/>
        <v>Clean</v>
      </c>
    </row>
    <row r="455" spans="1:31">
      <c r="A455" t="s">
        <v>1459</v>
      </c>
      <c r="B455" s="3">
        <v>45721</v>
      </c>
      <c r="C455" s="3">
        <v>45788</v>
      </c>
      <c r="D455" t="s">
        <v>1460</v>
      </c>
      <c r="E455" t="s">
        <v>141</v>
      </c>
      <c r="F455" t="s">
        <v>37</v>
      </c>
      <c r="G455" t="s">
        <v>63</v>
      </c>
      <c r="H455" t="s">
        <v>72</v>
      </c>
      <c r="I455" t="s">
        <v>73</v>
      </c>
      <c r="J455" t="s">
        <v>28</v>
      </c>
      <c r="K455" t="s">
        <v>91</v>
      </c>
      <c r="L455" t="s">
        <v>1461</v>
      </c>
      <c r="M455" t="s">
        <v>44</v>
      </c>
      <c r="N455">
        <v>5</v>
      </c>
      <c r="O455">
        <v>1483.52</v>
      </c>
      <c r="P455">
        <v>0</v>
      </c>
      <c r="Q455">
        <v>7417.6</v>
      </c>
      <c r="R455">
        <v>4955.8599999999997</v>
      </c>
      <c r="S455">
        <v>2461.7399999999998</v>
      </c>
      <c r="T455" t="s">
        <v>32</v>
      </c>
      <c r="U455" t="s">
        <v>33</v>
      </c>
      <c r="V455">
        <f>IF(OR(B455="Invalid Date",C455="Invalid Date"),"Invalid Date",C455-B455)</f>
        <v>67</v>
      </c>
      <c r="W455" s="4" t="str">
        <f>IF(OR(B455="Invalid Date",C455="Invalid Date"),"Invalid Date",IF(C455&lt;B455,"Invalid Shipping","OK"))</f>
        <v>OK</v>
      </c>
      <c r="X455">
        <f t="shared" si="56"/>
        <v>1</v>
      </c>
      <c r="Y455">
        <f t="shared" si="57"/>
        <v>0</v>
      </c>
      <c r="Z455">
        <f t="shared" si="58"/>
        <v>7417.6</v>
      </c>
      <c r="AA455">
        <f t="shared" si="59"/>
        <v>2461.7400000000007</v>
      </c>
      <c r="AB455" s="6">
        <f t="shared" si="60"/>
        <v>0.3318782355478862</v>
      </c>
      <c r="AC455" t="str">
        <f t="shared" si="61"/>
        <v>March</v>
      </c>
      <c r="AD455">
        <f t="shared" si="62"/>
        <v>2025</v>
      </c>
      <c r="AE455" t="str">
        <f t="shared" si="63"/>
        <v>Clean</v>
      </c>
    </row>
    <row r="456" spans="1:31">
      <c r="A456" t="s">
        <v>1462</v>
      </c>
      <c r="B456" s="3">
        <v>45739</v>
      </c>
      <c r="C456" s="3">
        <v>45744</v>
      </c>
      <c r="D456" t="s">
        <v>1463</v>
      </c>
      <c r="E456" t="s">
        <v>71</v>
      </c>
      <c r="F456" t="s">
        <v>37</v>
      </c>
      <c r="G456" t="s">
        <v>25</v>
      </c>
      <c r="H456" t="s">
        <v>26</v>
      </c>
      <c r="I456" t="s">
        <v>27</v>
      </c>
      <c r="J456" t="s">
        <v>41</v>
      </c>
      <c r="K456" t="s">
        <v>57</v>
      </c>
      <c r="L456" t="s">
        <v>1464</v>
      </c>
      <c r="M456" t="s">
        <v>59</v>
      </c>
      <c r="N456">
        <v>9</v>
      </c>
      <c r="O456">
        <v>3298</v>
      </c>
      <c r="P456">
        <v>0.15</v>
      </c>
      <c r="Q456">
        <v>25229.7</v>
      </c>
      <c r="R456">
        <v>20170.43</v>
      </c>
      <c r="S456">
        <v>5059.2700000000004</v>
      </c>
      <c r="T456" t="s">
        <v>32</v>
      </c>
      <c r="U456" t="s">
        <v>33</v>
      </c>
      <c r="V456">
        <f>IF(OR(B456="Invalid Date",C456="Invalid Date"),"Invalid Date",C456-B456)</f>
        <v>5</v>
      </c>
      <c r="W456" s="4" t="str">
        <f>IF(OR(B456="Invalid Date",C456="Invalid Date"),"Invalid Date",IF(C456&lt;B456,"Invalid Shipping","OK"))</f>
        <v>OK</v>
      </c>
      <c r="X456">
        <f t="shared" si="56"/>
        <v>1</v>
      </c>
      <c r="Y456">
        <f t="shared" si="57"/>
        <v>0.15</v>
      </c>
      <c r="Z456">
        <f t="shared" si="58"/>
        <v>25229.7</v>
      </c>
      <c r="AA456">
        <f t="shared" si="59"/>
        <v>5059.2700000000004</v>
      </c>
      <c r="AB456" s="6">
        <f t="shared" si="60"/>
        <v>0.20052834556098567</v>
      </c>
      <c r="AC456" t="str">
        <f t="shared" si="61"/>
        <v>March</v>
      </c>
      <c r="AD456">
        <f t="shared" si="62"/>
        <v>2025</v>
      </c>
      <c r="AE456" t="str">
        <f t="shared" si="63"/>
        <v>Clean</v>
      </c>
    </row>
    <row r="457" spans="1:31">
      <c r="A457" t="s">
        <v>1465</v>
      </c>
      <c r="B457" s="3">
        <v>45491</v>
      </c>
      <c r="C457" s="3">
        <v>45495</v>
      </c>
      <c r="D457" t="s">
        <v>1466</v>
      </c>
      <c r="E457" t="s">
        <v>79</v>
      </c>
      <c r="F457" t="s">
        <v>37</v>
      </c>
      <c r="G457" t="s">
        <v>54</v>
      </c>
      <c r="H457" t="s">
        <v>55</v>
      </c>
      <c r="I457" t="s">
        <v>56</v>
      </c>
      <c r="J457" t="s">
        <v>28</v>
      </c>
      <c r="K457" t="s">
        <v>48</v>
      </c>
      <c r="L457" t="s">
        <v>1467</v>
      </c>
      <c r="M457" t="s">
        <v>59</v>
      </c>
      <c r="N457">
        <v>4</v>
      </c>
      <c r="O457">
        <v>808.77</v>
      </c>
      <c r="P457">
        <v>0</v>
      </c>
      <c r="Q457">
        <v>3235.08</v>
      </c>
      <c r="R457">
        <v>1848.6</v>
      </c>
      <c r="S457">
        <v>1386.48</v>
      </c>
      <c r="T457" t="s">
        <v>32</v>
      </c>
      <c r="U457" t="s">
        <v>33</v>
      </c>
      <c r="V457">
        <f>IF(OR(B457="Invalid Date",C457="Invalid Date"),"Invalid Date",C457-B457)</f>
        <v>4</v>
      </c>
      <c r="W457" s="4" t="str">
        <f>IF(OR(B457="Invalid Date",C457="Invalid Date"),"Invalid Date",IF(C457&lt;B457,"Invalid Shipping","OK"))</f>
        <v>OK</v>
      </c>
      <c r="X457">
        <f t="shared" si="56"/>
        <v>1</v>
      </c>
      <c r="Y457">
        <f t="shared" si="57"/>
        <v>0</v>
      </c>
      <c r="Z457">
        <f t="shared" si="58"/>
        <v>3235.08</v>
      </c>
      <c r="AA457">
        <f t="shared" si="59"/>
        <v>1386.48</v>
      </c>
      <c r="AB457" s="6">
        <f t="shared" si="60"/>
        <v>0.42857672762342819</v>
      </c>
      <c r="AC457" t="str">
        <f t="shared" si="61"/>
        <v>July</v>
      </c>
      <c r="AD457">
        <f t="shared" si="62"/>
        <v>2024</v>
      </c>
      <c r="AE457" t="str">
        <f t="shared" si="63"/>
        <v>Clean</v>
      </c>
    </row>
    <row r="458" spans="1:31">
      <c r="A458" t="s">
        <v>1468</v>
      </c>
      <c r="B458" s="3">
        <v>45342</v>
      </c>
      <c r="C458" s="3">
        <v>45342</v>
      </c>
      <c r="D458" t="s">
        <v>1469</v>
      </c>
      <c r="E458" t="s">
        <v>79</v>
      </c>
      <c r="F458" t="s">
        <v>90</v>
      </c>
      <c r="G458" t="s">
        <v>25</v>
      </c>
      <c r="H458" t="s">
        <v>136</v>
      </c>
      <c r="I458" t="s">
        <v>137</v>
      </c>
      <c r="J458" t="s">
        <v>74</v>
      </c>
      <c r="K458" t="s">
        <v>75</v>
      </c>
      <c r="L458" t="s">
        <v>1470</v>
      </c>
      <c r="M458" t="s">
        <v>44</v>
      </c>
      <c r="N458">
        <v>5</v>
      </c>
      <c r="O458">
        <v>2604.91</v>
      </c>
      <c r="P458">
        <v>0.15</v>
      </c>
      <c r="Q458">
        <v>11070.87</v>
      </c>
      <c r="R458">
        <v>6623.61</v>
      </c>
      <c r="S458">
        <v>4447.26</v>
      </c>
      <c r="T458" t="s">
        <v>32</v>
      </c>
      <c r="U458" t="s">
        <v>103</v>
      </c>
      <c r="V458">
        <f>IF(OR(B458="Invalid Date",C458="Invalid Date"),"Invalid Date",C458-B458)</f>
        <v>0</v>
      </c>
      <c r="W458" s="4" t="str">
        <f>IF(OR(B458="Invalid Date",C458="Invalid Date"),"Invalid Date",IF(C458&lt;B458,"Invalid Shipping","OK"))</f>
        <v>OK</v>
      </c>
      <c r="X458">
        <f t="shared" si="56"/>
        <v>1</v>
      </c>
      <c r="Y458">
        <f t="shared" si="57"/>
        <v>0.15</v>
      </c>
      <c r="Z458">
        <f t="shared" si="58"/>
        <v>11070.867499999998</v>
      </c>
      <c r="AA458">
        <f t="shared" si="59"/>
        <v>4447.2574999999988</v>
      </c>
      <c r="AB458" s="6">
        <f t="shared" si="60"/>
        <v>0.40170813172499803</v>
      </c>
      <c r="AC458" t="str">
        <f t="shared" si="61"/>
        <v>February</v>
      </c>
      <c r="AD458">
        <f t="shared" si="62"/>
        <v>2024</v>
      </c>
      <c r="AE458" t="str">
        <f t="shared" si="63"/>
        <v>Clean</v>
      </c>
    </row>
    <row r="459" spans="1:31">
      <c r="A459" t="s">
        <v>1471</v>
      </c>
      <c r="B459" s="3">
        <v>45387</v>
      </c>
      <c r="C459" s="3">
        <v>45416</v>
      </c>
      <c r="D459" t="s">
        <v>1472</v>
      </c>
      <c r="E459" t="s">
        <v>36</v>
      </c>
      <c r="F459" t="s">
        <v>37</v>
      </c>
      <c r="G459" t="s">
        <v>63</v>
      </c>
      <c r="H459" t="s">
        <v>190</v>
      </c>
      <c r="I459" t="s">
        <v>191</v>
      </c>
      <c r="J459" t="s">
        <v>41</v>
      </c>
      <c r="K459" t="s">
        <v>42</v>
      </c>
      <c r="L459" t="s">
        <v>1473</v>
      </c>
      <c r="M459" t="s">
        <v>59</v>
      </c>
      <c r="N459">
        <v>7</v>
      </c>
      <c r="O459">
        <v>2851.51</v>
      </c>
      <c r="P459">
        <v>0</v>
      </c>
      <c r="Q459">
        <v>19960.57</v>
      </c>
      <c r="R459">
        <v>16603.599999999999</v>
      </c>
      <c r="S459">
        <v>3356.97</v>
      </c>
      <c r="T459" t="s">
        <v>32</v>
      </c>
      <c r="U459" t="s">
        <v>33</v>
      </c>
      <c r="V459">
        <f>IF(OR(B459="Invalid Date",C459="Invalid Date"),"Invalid Date",C459-B459)</f>
        <v>29</v>
      </c>
      <c r="W459" s="4" t="str">
        <f>IF(OR(B459="Invalid Date",C459="Invalid Date"),"Invalid Date",IF(C459&lt;B459,"Invalid Shipping","OK"))</f>
        <v>OK</v>
      </c>
      <c r="X459">
        <f t="shared" si="56"/>
        <v>1</v>
      </c>
      <c r="Y459">
        <f t="shared" si="57"/>
        <v>0</v>
      </c>
      <c r="Z459">
        <f t="shared" si="58"/>
        <v>19960.57</v>
      </c>
      <c r="AA459">
        <f t="shared" si="59"/>
        <v>3356.9700000000012</v>
      </c>
      <c r="AB459" s="6">
        <f t="shared" si="60"/>
        <v>0.1681800670020947</v>
      </c>
      <c r="AC459" t="str">
        <f t="shared" si="61"/>
        <v>April</v>
      </c>
      <c r="AD459">
        <f t="shared" si="62"/>
        <v>2024</v>
      </c>
      <c r="AE459" t="str">
        <f t="shared" si="63"/>
        <v>Clean</v>
      </c>
    </row>
    <row r="460" spans="1:31">
      <c r="A460" t="s">
        <v>1474</v>
      </c>
      <c r="B460" s="3">
        <v>45332</v>
      </c>
      <c r="C460" s="3">
        <v>45598</v>
      </c>
      <c r="D460" t="s">
        <v>1475</v>
      </c>
      <c r="E460" t="s">
        <v>23</v>
      </c>
      <c r="F460" t="s">
        <v>90</v>
      </c>
      <c r="G460" t="s">
        <v>25</v>
      </c>
      <c r="H460" t="s">
        <v>26</v>
      </c>
      <c r="I460" t="s">
        <v>27</v>
      </c>
      <c r="J460" t="s">
        <v>74</v>
      </c>
      <c r="K460" t="s">
        <v>171</v>
      </c>
      <c r="L460" t="s">
        <v>1476</v>
      </c>
      <c r="M460" t="s">
        <v>31</v>
      </c>
      <c r="N460">
        <v>3</v>
      </c>
      <c r="O460">
        <v>3183.72</v>
      </c>
      <c r="P460">
        <v>0.1</v>
      </c>
      <c r="Q460">
        <v>8596.0400000000009</v>
      </c>
      <c r="R460">
        <v>5378.16</v>
      </c>
      <c r="S460">
        <v>3217.88</v>
      </c>
      <c r="T460" t="s">
        <v>32</v>
      </c>
      <c r="U460" t="s">
        <v>33</v>
      </c>
      <c r="V460">
        <f>IF(OR(B460="Invalid Date",C460="Invalid Date"),"Invalid Date",C460-B460)</f>
        <v>266</v>
      </c>
      <c r="W460" s="4" t="str">
        <f>IF(OR(B460="Invalid Date",C460="Invalid Date"),"Invalid Date",IF(C460&lt;B460,"Invalid Shipping","OK"))</f>
        <v>OK</v>
      </c>
      <c r="X460">
        <f t="shared" si="56"/>
        <v>1</v>
      </c>
      <c r="Y460">
        <f t="shared" si="57"/>
        <v>0.1</v>
      </c>
      <c r="Z460">
        <f t="shared" si="58"/>
        <v>8596.0439999999999</v>
      </c>
      <c r="AA460">
        <f t="shared" si="59"/>
        <v>3217.884</v>
      </c>
      <c r="AB460" s="6">
        <f t="shared" si="60"/>
        <v>0.37434475672762962</v>
      </c>
      <c r="AC460" t="str">
        <f t="shared" si="61"/>
        <v>February</v>
      </c>
      <c r="AD460">
        <f t="shared" si="62"/>
        <v>2024</v>
      </c>
      <c r="AE460" t="str">
        <f t="shared" si="63"/>
        <v>Clean</v>
      </c>
    </row>
    <row r="461" spans="1:31">
      <c r="A461" t="s">
        <v>1477</v>
      </c>
      <c r="B461" s="3" t="s">
        <v>2763</v>
      </c>
      <c r="C461" s="3">
        <v>45386</v>
      </c>
      <c r="D461" t="s">
        <v>1478</v>
      </c>
      <c r="E461" t="s">
        <v>62</v>
      </c>
      <c r="F461" t="s">
        <v>95</v>
      </c>
      <c r="G461" t="s">
        <v>63</v>
      </c>
      <c r="H461" t="s">
        <v>190</v>
      </c>
      <c r="I461" t="s">
        <v>191</v>
      </c>
      <c r="J461" t="s">
        <v>28</v>
      </c>
      <c r="K461" t="s">
        <v>29</v>
      </c>
      <c r="L461" t="s">
        <v>1479</v>
      </c>
      <c r="M461" t="s">
        <v>50</v>
      </c>
      <c r="N461">
        <v>3</v>
      </c>
      <c r="O461">
        <v>1150.92</v>
      </c>
      <c r="P461">
        <v>0</v>
      </c>
      <c r="Q461">
        <v>3452.76</v>
      </c>
      <c r="R461">
        <v>2077.96</v>
      </c>
      <c r="S461">
        <v>1374.8</v>
      </c>
      <c r="T461" t="s">
        <v>32</v>
      </c>
      <c r="U461" t="s">
        <v>33</v>
      </c>
      <c r="V461" t="str">
        <f>IF(OR(B461="Invalid Date",C461="Invalid Date"),"Invalid Date",C461-B461)</f>
        <v>Invalid Date</v>
      </c>
      <c r="W461" s="4" t="str">
        <f>IF(OR(B461="Invalid Date",C461="Invalid Date"),"Invalid Date",IF(C461&lt;B461,"Invalid Shipping","OK"))</f>
        <v>Invalid Date</v>
      </c>
      <c r="X461">
        <f t="shared" si="56"/>
        <v>1</v>
      </c>
      <c r="Y461">
        <f t="shared" si="57"/>
        <v>0</v>
      </c>
      <c r="Z461">
        <f t="shared" si="58"/>
        <v>3452.76</v>
      </c>
      <c r="AA461">
        <f t="shared" si="59"/>
        <v>1374.8000000000002</v>
      </c>
      <c r="AB461" s="6">
        <f t="shared" si="60"/>
        <v>0.39817421425178701</v>
      </c>
      <c r="AC461" t="str">
        <f t="shared" si="61"/>
        <v/>
      </c>
      <c r="AD461" t="str">
        <f t="shared" si="62"/>
        <v/>
      </c>
      <c r="AE461" t="str">
        <f t="shared" si="63"/>
        <v>Invalid</v>
      </c>
    </row>
    <row r="462" spans="1:31">
      <c r="A462" t="s">
        <v>1480</v>
      </c>
      <c r="B462" s="3">
        <v>45930</v>
      </c>
      <c r="C462" s="3">
        <v>45936</v>
      </c>
      <c r="D462" t="s">
        <v>1481</v>
      </c>
      <c r="E462" t="s">
        <v>128</v>
      </c>
      <c r="F462" t="s">
        <v>90</v>
      </c>
      <c r="G462" t="s">
        <v>2767</v>
      </c>
      <c r="H462" t="s">
        <v>26</v>
      </c>
      <c r="I462" t="s">
        <v>27</v>
      </c>
      <c r="J462" t="s">
        <v>74</v>
      </c>
      <c r="K462" t="s">
        <v>80</v>
      </c>
      <c r="L462" t="s">
        <v>1482</v>
      </c>
      <c r="M462" t="s">
        <v>31</v>
      </c>
      <c r="N462">
        <v>9</v>
      </c>
      <c r="O462">
        <v>1359.88</v>
      </c>
      <c r="P462">
        <v>0.05</v>
      </c>
      <c r="Q462">
        <v>11626.97</v>
      </c>
      <c r="R462">
        <v>7394.07</v>
      </c>
      <c r="S462">
        <v>4232.8999999999996</v>
      </c>
      <c r="T462" t="s">
        <v>32</v>
      </c>
      <c r="U462" t="s">
        <v>33</v>
      </c>
      <c r="V462">
        <f>IF(OR(B462="Invalid Date",C462="Invalid Date"),"Invalid Date",C462-B462)</f>
        <v>6</v>
      </c>
      <c r="W462" s="4" t="str">
        <f>IF(OR(B462="Invalid Date",C462="Invalid Date"),"Invalid Date",IF(C462&lt;B462,"Invalid Shipping","OK"))</f>
        <v>OK</v>
      </c>
      <c r="X462">
        <f t="shared" si="56"/>
        <v>1</v>
      </c>
      <c r="Y462">
        <f t="shared" si="57"/>
        <v>0.05</v>
      </c>
      <c r="Z462">
        <f t="shared" si="58"/>
        <v>11626.974000000002</v>
      </c>
      <c r="AA462">
        <f t="shared" si="59"/>
        <v>4232.9040000000023</v>
      </c>
      <c r="AB462" s="6">
        <f t="shared" si="60"/>
        <v>0.36405895463428417</v>
      </c>
      <c r="AC462" t="str">
        <f t="shared" si="61"/>
        <v>September</v>
      </c>
      <c r="AD462">
        <f t="shared" si="62"/>
        <v>2025</v>
      </c>
      <c r="AE462" t="str">
        <f t="shared" si="63"/>
        <v>Warning</v>
      </c>
    </row>
    <row r="463" spans="1:31">
      <c r="A463" t="s">
        <v>1483</v>
      </c>
      <c r="B463" s="3" t="s">
        <v>2763</v>
      </c>
      <c r="C463" s="3" t="s">
        <v>2763</v>
      </c>
      <c r="D463" t="s">
        <v>1484</v>
      </c>
      <c r="E463" t="s">
        <v>79</v>
      </c>
      <c r="F463" t="s">
        <v>90</v>
      </c>
      <c r="G463" t="s">
        <v>54</v>
      </c>
      <c r="H463" t="s">
        <v>84</v>
      </c>
      <c r="I463" t="s">
        <v>85</v>
      </c>
      <c r="J463" t="s">
        <v>28</v>
      </c>
      <c r="K463" t="s">
        <v>29</v>
      </c>
      <c r="L463" t="s">
        <v>1485</v>
      </c>
      <c r="M463" t="s">
        <v>59</v>
      </c>
      <c r="N463">
        <v>3</v>
      </c>
      <c r="O463">
        <v>3378.15</v>
      </c>
      <c r="P463">
        <v>0.15</v>
      </c>
      <c r="Q463">
        <v>8614.2800000000007</v>
      </c>
      <c r="R463">
        <v>7052.08</v>
      </c>
      <c r="S463">
        <v>1562.2</v>
      </c>
      <c r="T463" t="s">
        <v>32</v>
      </c>
      <c r="U463" t="s">
        <v>33</v>
      </c>
      <c r="V463" t="str">
        <f>IF(OR(B463="Invalid Date",C463="Invalid Date"),"Invalid Date",C463-B463)</f>
        <v>Invalid Date</v>
      </c>
      <c r="W463" s="4" t="str">
        <f>IF(OR(B463="Invalid Date",C463="Invalid Date"),"Invalid Date",IF(C463&lt;B463,"Invalid Shipping","OK"))</f>
        <v>Invalid Date</v>
      </c>
      <c r="X463">
        <f t="shared" si="56"/>
        <v>1</v>
      </c>
      <c r="Y463">
        <f t="shared" si="57"/>
        <v>0.15</v>
      </c>
      <c r="Z463">
        <f t="shared" si="58"/>
        <v>8614.2825000000012</v>
      </c>
      <c r="AA463">
        <f t="shared" si="59"/>
        <v>1562.2025000000012</v>
      </c>
      <c r="AB463" s="6">
        <f t="shared" si="60"/>
        <v>0.18135027496486225</v>
      </c>
      <c r="AC463" t="str">
        <f t="shared" si="61"/>
        <v/>
      </c>
      <c r="AD463" t="str">
        <f t="shared" si="62"/>
        <v/>
      </c>
      <c r="AE463" t="str">
        <f t="shared" si="63"/>
        <v>Invalid</v>
      </c>
    </row>
    <row r="464" spans="1:31">
      <c r="A464" t="s">
        <v>1486</v>
      </c>
      <c r="B464" s="3" t="s">
        <v>2763</v>
      </c>
      <c r="C464" s="3">
        <v>45560</v>
      </c>
      <c r="D464" t="s">
        <v>1487</v>
      </c>
      <c r="E464" t="s">
        <v>128</v>
      </c>
      <c r="F464" t="s">
        <v>95</v>
      </c>
      <c r="G464" t="s">
        <v>25</v>
      </c>
      <c r="H464" t="s">
        <v>350</v>
      </c>
      <c r="I464" t="s">
        <v>351</v>
      </c>
      <c r="J464" t="s">
        <v>28</v>
      </c>
      <c r="K464" t="s">
        <v>153</v>
      </c>
      <c r="L464" t="s">
        <v>1488</v>
      </c>
      <c r="M464" t="s">
        <v>50</v>
      </c>
      <c r="N464">
        <v>2</v>
      </c>
      <c r="O464">
        <v>1275.1400000000001</v>
      </c>
      <c r="P464">
        <v>0.2</v>
      </c>
      <c r="Q464">
        <v>2040.22</v>
      </c>
      <c r="R464">
        <v>1395.71</v>
      </c>
      <c r="S464">
        <v>644.51</v>
      </c>
      <c r="T464" t="s">
        <v>32</v>
      </c>
      <c r="U464" t="s">
        <v>33</v>
      </c>
      <c r="V464" t="str">
        <f>IF(OR(B464="Invalid Date",C464="Invalid Date"),"Invalid Date",C464-B464)</f>
        <v>Invalid Date</v>
      </c>
      <c r="W464" s="4" t="str">
        <f>IF(OR(B464="Invalid Date",C464="Invalid Date"),"Invalid Date",IF(C464&lt;B464,"Invalid Shipping","OK"))</f>
        <v>Invalid Date</v>
      </c>
      <c r="X464">
        <f t="shared" si="56"/>
        <v>1</v>
      </c>
      <c r="Y464">
        <f t="shared" si="57"/>
        <v>0.2</v>
      </c>
      <c r="Z464">
        <f t="shared" si="58"/>
        <v>2040.2240000000002</v>
      </c>
      <c r="AA464">
        <f t="shared" si="59"/>
        <v>644.51400000000012</v>
      </c>
      <c r="AB464" s="6">
        <f t="shared" si="60"/>
        <v>0.31590354784572677</v>
      </c>
      <c r="AC464" t="str">
        <f t="shared" si="61"/>
        <v/>
      </c>
      <c r="AD464" t="str">
        <f t="shared" si="62"/>
        <v/>
      </c>
      <c r="AE464" t="str">
        <f t="shared" si="63"/>
        <v>Invalid</v>
      </c>
    </row>
    <row r="465" spans="1:31">
      <c r="A465" t="s">
        <v>1489</v>
      </c>
      <c r="B465" s="3">
        <v>45695</v>
      </c>
      <c r="C465" s="3">
        <v>45696</v>
      </c>
      <c r="D465" t="s">
        <v>1490</v>
      </c>
      <c r="E465" t="s">
        <v>53</v>
      </c>
      <c r="F465" t="s">
        <v>90</v>
      </c>
      <c r="G465" t="s">
        <v>63</v>
      </c>
      <c r="H465" t="s">
        <v>72</v>
      </c>
      <c r="I465" t="s">
        <v>73</v>
      </c>
      <c r="J465" t="s">
        <v>74</v>
      </c>
      <c r="K465" t="s">
        <v>171</v>
      </c>
      <c r="L465" t="s">
        <v>1491</v>
      </c>
      <c r="M465" t="s">
        <v>59</v>
      </c>
      <c r="N465">
        <v>4</v>
      </c>
      <c r="O465">
        <v>889.5</v>
      </c>
      <c r="P465">
        <v>0.2</v>
      </c>
      <c r="Q465">
        <v>2846.4</v>
      </c>
      <c r="R465">
        <v>2132.37</v>
      </c>
      <c r="S465">
        <v>714.03</v>
      </c>
      <c r="T465" t="s">
        <v>32</v>
      </c>
      <c r="U465" t="s">
        <v>33</v>
      </c>
      <c r="V465">
        <f>IF(OR(B465="Invalid Date",C465="Invalid Date"),"Invalid Date",C465-B465)</f>
        <v>1</v>
      </c>
      <c r="W465" s="4" t="str">
        <f>IF(OR(B465="Invalid Date",C465="Invalid Date"),"Invalid Date",IF(C465&lt;B465,"Invalid Shipping","OK"))</f>
        <v>OK</v>
      </c>
      <c r="X465">
        <f t="shared" si="56"/>
        <v>1</v>
      </c>
      <c r="Y465">
        <f t="shared" si="57"/>
        <v>0.2</v>
      </c>
      <c r="Z465">
        <f t="shared" si="58"/>
        <v>2846.4</v>
      </c>
      <c r="AA465">
        <f t="shared" si="59"/>
        <v>714.0300000000002</v>
      </c>
      <c r="AB465" s="6">
        <f t="shared" si="60"/>
        <v>0.25085370994940986</v>
      </c>
      <c r="AC465" t="str">
        <f t="shared" si="61"/>
        <v>February</v>
      </c>
      <c r="AD465">
        <f t="shared" si="62"/>
        <v>2025</v>
      </c>
      <c r="AE465" t="str">
        <f t="shared" si="63"/>
        <v>Clean</v>
      </c>
    </row>
    <row r="466" spans="1:31">
      <c r="A466" t="s">
        <v>1492</v>
      </c>
      <c r="B466" s="3">
        <v>45727</v>
      </c>
      <c r="C466" s="3" t="s">
        <v>2763</v>
      </c>
      <c r="D466" t="s">
        <v>1493</v>
      </c>
      <c r="E466" t="s">
        <v>53</v>
      </c>
      <c r="F466" t="s">
        <v>90</v>
      </c>
      <c r="G466" t="s">
        <v>38</v>
      </c>
      <c r="H466" t="s">
        <v>145</v>
      </c>
      <c r="I466" t="s">
        <v>146</v>
      </c>
      <c r="J466" t="s">
        <v>28</v>
      </c>
      <c r="K466" t="s">
        <v>29</v>
      </c>
      <c r="L466" t="s">
        <v>1494</v>
      </c>
      <c r="M466" t="s">
        <v>44</v>
      </c>
      <c r="N466">
        <v>3</v>
      </c>
      <c r="O466">
        <v>3625.08</v>
      </c>
      <c r="P466">
        <v>0.05</v>
      </c>
      <c r="Q466">
        <v>10331.48</v>
      </c>
      <c r="R466">
        <v>7131.91</v>
      </c>
      <c r="S466">
        <v>3199.57</v>
      </c>
      <c r="T466" t="s">
        <v>111</v>
      </c>
      <c r="U466" t="s">
        <v>68</v>
      </c>
      <c r="V466" t="str">
        <f>IF(OR(B466="Invalid Date",C466="Invalid Date"),"Invalid Date",C466-B466)</f>
        <v>Invalid Date</v>
      </c>
      <c r="W466" s="4" t="str">
        <f>IF(OR(B466="Invalid Date",C466="Invalid Date"),"Invalid Date",IF(C466&lt;B466,"Invalid Shipping","OK"))</f>
        <v>Invalid Date</v>
      </c>
      <c r="X466">
        <f t="shared" si="56"/>
        <v>1</v>
      </c>
      <c r="Y466">
        <f t="shared" si="57"/>
        <v>0.05</v>
      </c>
      <c r="Z466">
        <f t="shared" si="58"/>
        <v>10331.477999999999</v>
      </c>
      <c r="AA466">
        <f t="shared" si="59"/>
        <v>3199.5679999999993</v>
      </c>
      <c r="AB466" s="6">
        <f t="shared" si="60"/>
        <v>0.30969121746181905</v>
      </c>
      <c r="AC466" t="str">
        <f t="shared" si="61"/>
        <v>March</v>
      </c>
      <c r="AD466">
        <f t="shared" si="62"/>
        <v>2025</v>
      </c>
      <c r="AE466" t="str">
        <f t="shared" si="63"/>
        <v>Invalid</v>
      </c>
    </row>
    <row r="467" spans="1:31">
      <c r="A467" t="s">
        <v>1495</v>
      </c>
      <c r="B467" s="3">
        <v>45320</v>
      </c>
      <c r="C467" s="3">
        <v>45328</v>
      </c>
      <c r="D467" t="s">
        <v>1496</v>
      </c>
      <c r="E467" t="s">
        <v>128</v>
      </c>
      <c r="F467" t="s">
        <v>37</v>
      </c>
      <c r="G467" t="s">
        <v>63</v>
      </c>
      <c r="H467" t="s">
        <v>72</v>
      </c>
      <c r="I467" t="s">
        <v>73</v>
      </c>
      <c r="J467" t="s">
        <v>28</v>
      </c>
      <c r="K467" t="s">
        <v>91</v>
      </c>
      <c r="L467" t="s">
        <v>1497</v>
      </c>
      <c r="M467" t="s">
        <v>59</v>
      </c>
      <c r="N467">
        <v>2</v>
      </c>
      <c r="O467">
        <v>1258.9000000000001</v>
      </c>
      <c r="P467">
        <v>0</v>
      </c>
      <c r="Q467">
        <v>2517.8000000000002</v>
      </c>
      <c r="R467">
        <v>1478.54</v>
      </c>
      <c r="S467">
        <v>1039.26</v>
      </c>
      <c r="T467" t="s">
        <v>32</v>
      </c>
      <c r="U467" t="s">
        <v>33</v>
      </c>
      <c r="V467">
        <f>IF(OR(B467="Invalid Date",C467="Invalid Date"),"Invalid Date",C467-B467)</f>
        <v>8</v>
      </c>
      <c r="W467" s="4" t="str">
        <f>IF(OR(B467="Invalid Date",C467="Invalid Date"),"Invalid Date",IF(C467&lt;B467,"Invalid Shipping","OK"))</f>
        <v>OK</v>
      </c>
      <c r="X467">
        <f t="shared" si="56"/>
        <v>1</v>
      </c>
      <c r="Y467">
        <f t="shared" si="57"/>
        <v>0</v>
      </c>
      <c r="Z467">
        <f t="shared" si="58"/>
        <v>2517.8000000000002</v>
      </c>
      <c r="AA467">
        <f t="shared" si="59"/>
        <v>1039.2600000000002</v>
      </c>
      <c r="AB467" s="6">
        <f t="shared" si="60"/>
        <v>0.41276511239971408</v>
      </c>
      <c r="AC467" t="str">
        <f t="shared" si="61"/>
        <v>January</v>
      </c>
      <c r="AD467">
        <f t="shared" si="62"/>
        <v>2024</v>
      </c>
      <c r="AE467" t="str">
        <f t="shared" si="63"/>
        <v>Clean</v>
      </c>
    </row>
    <row r="468" spans="1:31">
      <c r="A468" t="s">
        <v>1498</v>
      </c>
      <c r="B468" s="3">
        <v>45295</v>
      </c>
      <c r="C468" s="3">
        <v>45505</v>
      </c>
      <c r="D468" t="s">
        <v>1499</v>
      </c>
      <c r="E468" t="s">
        <v>36</v>
      </c>
      <c r="F468" t="s">
        <v>37</v>
      </c>
      <c r="G468" t="s">
        <v>38</v>
      </c>
      <c r="H468" t="s">
        <v>145</v>
      </c>
      <c r="I468" t="s">
        <v>146</v>
      </c>
      <c r="J468" t="s">
        <v>74</v>
      </c>
      <c r="K468" t="s">
        <v>75</v>
      </c>
      <c r="L468" t="s">
        <v>1500</v>
      </c>
      <c r="M468" t="s">
        <v>44</v>
      </c>
      <c r="N468">
        <v>9</v>
      </c>
      <c r="O468">
        <v>1591.96</v>
      </c>
      <c r="P468">
        <v>0.2</v>
      </c>
      <c r="Q468">
        <v>11462.11</v>
      </c>
      <c r="R468">
        <v>7105.48</v>
      </c>
      <c r="S468">
        <v>4356.63</v>
      </c>
      <c r="T468" t="s">
        <v>32</v>
      </c>
      <c r="U468" t="s">
        <v>33</v>
      </c>
      <c r="V468">
        <f>IF(OR(B468="Invalid Date",C468="Invalid Date"),"Invalid Date",C468-B468)</f>
        <v>210</v>
      </c>
      <c r="W468" s="4" t="str">
        <f>IF(OR(B468="Invalid Date",C468="Invalid Date"),"Invalid Date",IF(C468&lt;B468,"Invalid Shipping","OK"))</f>
        <v>OK</v>
      </c>
      <c r="X468">
        <f t="shared" si="56"/>
        <v>1</v>
      </c>
      <c r="Y468">
        <f t="shared" si="57"/>
        <v>0.2</v>
      </c>
      <c r="Z468">
        <f t="shared" si="58"/>
        <v>11462.112000000001</v>
      </c>
      <c r="AA468">
        <f t="shared" si="59"/>
        <v>4356.6320000000014</v>
      </c>
      <c r="AB468" s="6">
        <f t="shared" si="60"/>
        <v>0.38008981241851425</v>
      </c>
      <c r="AC468" t="str">
        <f t="shared" si="61"/>
        <v>January</v>
      </c>
      <c r="AD468">
        <f t="shared" si="62"/>
        <v>2024</v>
      </c>
      <c r="AE468" t="str">
        <f t="shared" si="63"/>
        <v>Clean</v>
      </c>
    </row>
    <row r="469" spans="1:31">
      <c r="A469" t="s">
        <v>1501</v>
      </c>
      <c r="B469" s="3">
        <v>45524</v>
      </c>
      <c r="C469" s="3">
        <v>45525</v>
      </c>
      <c r="D469" t="s">
        <v>1502</v>
      </c>
      <c r="E469" t="s">
        <v>89</v>
      </c>
      <c r="F469" t="s">
        <v>90</v>
      </c>
      <c r="G469" t="s">
        <v>38</v>
      </c>
      <c r="H469" t="s">
        <v>39</v>
      </c>
      <c r="I469" t="s">
        <v>40</v>
      </c>
      <c r="J469" t="s">
        <v>74</v>
      </c>
      <c r="K469" t="s">
        <v>80</v>
      </c>
      <c r="L469" t="s">
        <v>1503</v>
      </c>
      <c r="M469" t="s">
        <v>50</v>
      </c>
      <c r="N469">
        <v>5</v>
      </c>
      <c r="O469">
        <v>4288.33</v>
      </c>
      <c r="P469">
        <v>0.1</v>
      </c>
      <c r="Q469">
        <v>19297.490000000002</v>
      </c>
      <c r="R469">
        <v>15451.66</v>
      </c>
      <c r="S469">
        <v>3845.83</v>
      </c>
      <c r="T469" t="s">
        <v>102</v>
      </c>
      <c r="U469" t="s">
        <v>68</v>
      </c>
      <c r="V469">
        <f>IF(OR(B469="Invalid Date",C469="Invalid Date"),"Invalid Date",C469-B469)</f>
        <v>1</v>
      </c>
      <c r="W469" s="4" t="str">
        <f>IF(OR(B469="Invalid Date",C469="Invalid Date"),"Invalid Date",IF(C469&lt;B469,"Invalid Shipping","OK"))</f>
        <v>OK</v>
      </c>
      <c r="X469">
        <f t="shared" si="56"/>
        <v>1</v>
      </c>
      <c r="Y469">
        <f t="shared" si="57"/>
        <v>0.1</v>
      </c>
      <c r="Z469">
        <f t="shared" si="58"/>
        <v>19297.485000000001</v>
      </c>
      <c r="AA469">
        <f t="shared" si="59"/>
        <v>3845.8250000000007</v>
      </c>
      <c r="AB469" s="6">
        <f t="shared" si="60"/>
        <v>0.1992915138941681</v>
      </c>
      <c r="AC469" t="str">
        <f t="shared" si="61"/>
        <v>August</v>
      </c>
      <c r="AD469">
        <f t="shared" si="62"/>
        <v>2024</v>
      </c>
      <c r="AE469" t="str">
        <f t="shared" si="63"/>
        <v>Clean</v>
      </c>
    </row>
    <row r="470" spans="1:31">
      <c r="A470" t="s">
        <v>1504</v>
      </c>
      <c r="B470" s="3">
        <v>45666</v>
      </c>
      <c r="C470" s="3">
        <v>45664</v>
      </c>
      <c r="D470" t="s">
        <v>1505</v>
      </c>
      <c r="E470" t="s">
        <v>128</v>
      </c>
      <c r="F470" t="s">
        <v>95</v>
      </c>
      <c r="G470" t="s">
        <v>38</v>
      </c>
      <c r="H470" t="s">
        <v>99</v>
      </c>
      <c r="I470" t="s">
        <v>100</v>
      </c>
      <c r="J470" t="s">
        <v>28</v>
      </c>
      <c r="K470" t="s">
        <v>153</v>
      </c>
      <c r="L470" t="s">
        <v>1506</v>
      </c>
      <c r="M470" t="s">
        <v>31</v>
      </c>
      <c r="N470">
        <v>3</v>
      </c>
      <c r="O470">
        <v>2188.33</v>
      </c>
      <c r="P470">
        <v>0</v>
      </c>
      <c r="Q470">
        <v>6564.99</v>
      </c>
      <c r="R470">
        <v>5407.24</v>
      </c>
      <c r="S470">
        <v>1157.75</v>
      </c>
      <c r="T470" t="s">
        <v>32</v>
      </c>
      <c r="U470" t="s">
        <v>33</v>
      </c>
      <c r="V470">
        <f>IF(OR(B470="Invalid Date",C470="Invalid Date"),"Invalid Date",C470-B470)</f>
        <v>-2</v>
      </c>
      <c r="W470" s="4" t="str">
        <f>IF(OR(B470="Invalid Date",C470="Invalid Date"),"Invalid Date",IF(C470&lt;B470,"Invalid Shipping","OK"))</f>
        <v>Invalid Shipping</v>
      </c>
      <c r="X470">
        <f t="shared" si="56"/>
        <v>1</v>
      </c>
      <c r="Y470">
        <f t="shared" si="57"/>
        <v>0</v>
      </c>
      <c r="Z470">
        <f t="shared" si="58"/>
        <v>6564.99</v>
      </c>
      <c r="AA470">
        <f t="shared" si="59"/>
        <v>1157.75</v>
      </c>
      <c r="AB470" s="6">
        <f t="shared" si="60"/>
        <v>0.17635213458055535</v>
      </c>
      <c r="AC470" t="str">
        <f t="shared" si="61"/>
        <v>January</v>
      </c>
      <c r="AD470">
        <f t="shared" si="62"/>
        <v>2025</v>
      </c>
      <c r="AE470" t="str">
        <f t="shared" si="63"/>
        <v>Invalid</v>
      </c>
    </row>
    <row r="471" spans="1:31">
      <c r="A471" t="s">
        <v>1507</v>
      </c>
      <c r="B471" s="3">
        <v>45310</v>
      </c>
      <c r="C471" s="3" t="s">
        <v>2763</v>
      </c>
      <c r="D471" t="s">
        <v>1508</v>
      </c>
      <c r="E471" t="s">
        <v>89</v>
      </c>
      <c r="F471" t="s">
        <v>90</v>
      </c>
      <c r="G471" t="s">
        <v>63</v>
      </c>
      <c r="H471" t="s">
        <v>190</v>
      </c>
      <c r="I471" t="s">
        <v>191</v>
      </c>
      <c r="J471" t="s">
        <v>74</v>
      </c>
      <c r="K471" t="s">
        <v>80</v>
      </c>
      <c r="L471" t="s">
        <v>1509</v>
      </c>
      <c r="M471" t="s">
        <v>50</v>
      </c>
      <c r="N471">
        <v>3</v>
      </c>
      <c r="O471">
        <v>1041.6600000000001</v>
      </c>
      <c r="P471">
        <v>0.1</v>
      </c>
      <c r="Q471">
        <v>2812.48</v>
      </c>
      <c r="R471">
        <v>2282.12</v>
      </c>
      <c r="S471">
        <v>530.36</v>
      </c>
      <c r="T471" t="s">
        <v>32</v>
      </c>
      <c r="U471" t="s">
        <v>33</v>
      </c>
      <c r="V471" t="str">
        <f>IF(OR(B471="Invalid Date",C471="Invalid Date"),"Invalid Date",C471-B471)</f>
        <v>Invalid Date</v>
      </c>
      <c r="W471" s="4" t="str">
        <f>IF(OR(B471="Invalid Date",C471="Invalid Date"),"Invalid Date",IF(C471&lt;B471,"Invalid Shipping","OK"))</f>
        <v>Invalid Date</v>
      </c>
      <c r="X471">
        <f t="shared" si="56"/>
        <v>1</v>
      </c>
      <c r="Y471">
        <f t="shared" si="57"/>
        <v>0.1</v>
      </c>
      <c r="Z471">
        <f t="shared" si="58"/>
        <v>2812.4820000000004</v>
      </c>
      <c r="AA471">
        <f t="shared" si="59"/>
        <v>530.36200000000053</v>
      </c>
      <c r="AB471" s="6">
        <f t="shared" si="60"/>
        <v>0.18857436243147527</v>
      </c>
      <c r="AC471" t="str">
        <f t="shared" si="61"/>
        <v>January</v>
      </c>
      <c r="AD471">
        <f t="shared" si="62"/>
        <v>2024</v>
      </c>
      <c r="AE471" t="str">
        <f t="shared" si="63"/>
        <v>Invalid</v>
      </c>
    </row>
    <row r="472" spans="1:31">
      <c r="A472" t="s">
        <v>1510</v>
      </c>
      <c r="B472" s="3">
        <v>45501</v>
      </c>
      <c r="C472" s="3" t="s">
        <v>2763</v>
      </c>
      <c r="D472" t="s">
        <v>1511</v>
      </c>
      <c r="E472" t="s">
        <v>89</v>
      </c>
      <c r="F472" t="s">
        <v>24</v>
      </c>
      <c r="G472" t="s">
        <v>25</v>
      </c>
      <c r="H472" t="s">
        <v>26</v>
      </c>
      <c r="I472" t="s">
        <v>27</v>
      </c>
      <c r="J472" t="s">
        <v>41</v>
      </c>
      <c r="K472" t="s">
        <v>42</v>
      </c>
      <c r="L472" t="s">
        <v>1512</v>
      </c>
      <c r="M472" t="s">
        <v>44</v>
      </c>
      <c r="N472">
        <v>2</v>
      </c>
      <c r="O472">
        <v>4424.78</v>
      </c>
      <c r="P472">
        <v>0.2</v>
      </c>
      <c r="Q472">
        <v>7079.65</v>
      </c>
      <c r="R472">
        <v>4465.91</v>
      </c>
      <c r="S472">
        <v>2613.7399999999998</v>
      </c>
      <c r="T472" t="s">
        <v>32</v>
      </c>
      <c r="U472" t="s">
        <v>33</v>
      </c>
      <c r="V472" t="str">
        <f>IF(OR(B472="Invalid Date",C472="Invalid Date"),"Invalid Date",C472-B472)</f>
        <v>Invalid Date</v>
      </c>
      <c r="W472" s="4" t="str">
        <f>IF(OR(B472="Invalid Date",C472="Invalid Date"),"Invalid Date",IF(C472&lt;B472,"Invalid Shipping","OK"))</f>
        <v>Invalid Date</v>
      </c>
      <c r="X472">
        <f t="shared" si="56"/>
        <v>1</v>
      </c>
      <c r="Y472">
        <f t="shared" si="57"/>
        <v>0.2</v>
      </c>
      <c r="Z472">
        <f t="shared" si="58"/>
        <v>7079.6480000000001</v>
      </c>
      <c r="AA472">
        <f t="shared" si="59"/>
        <v>2613.7380000000003</v>
      </c>
      <c r="AB472" s="6">
        <f t="shared" si="60"/>
        <v>0.36919038912669105</v>
      </c>
      <c r="AC472" t="str">
        <f t="shared" si="61"/>
        <v>July</v>
      </c>
      <c r="AD472">
        <f t="shared" si="62"/>
        <v>2024</v>
      </c>
      <c r="AE472" t="str">
        <f t="shared" si="63"/>
        <v>Invalid</v>
      </c>
    </row>
    <row r="473" spans="1:31">
      <c r="A473" t="s">
        <v>1513</v>
      </c>
      <c r="B473" s="3">
        <v>45333</v>
      </c>
      <c r="C473" s="3" t="s">
        <v>2763</v>
      </c>
      <c r="D473" t="s">
        <v>1514</v>
      </c>
      <c r="E473" t="s">
        <v>264</v>
      </c>
      <c r="F473" t="s">
        <v>24</v>
      </c>
      <c r="G473" t="s">
        <v>54</v>
      </c>
      <c r="H473" t="s">
        <v>55</v>
      </c>
      <c r="I473" t="s">
        <v>56</v>
      </c>
      <c r="J473" t="s">
        <v>28</v>
      </c>
      <c r="K473" t="s">
        <v>153</v>
      </c>
      <c r="L473" t="s">
        <v>1515</v>
      </c>
      <c r="M473" t="s">
        <v>59</v>
      </c>
      <c r="N473">
        <v>3</v>
      </c>
      <c r="O473">
        <v>3019.14</v>
      </c>
      <c r="P473">
        <v>0.25</v>
      </c>
      <c r="Q473">
        <v>6793.07</v>
      </c>
      <c r="R473">
        <v>4985.22</v>
      </c>
      <c r="S473">
        <v>1807.85</v>
      </c>
      <c r="T473" t="s">
        <v>32</v>
      </c>
      <c r="U473" t="s">
        <v>33</v>
      </c>
      <c r="V473" t="str">
        <f>IF(OR(B473="Invalid Date",C473="Invalid Date"),"Invalid Date",C473-B473)</f>
        <v>Invalid Date</v>
      </c>
      <c r="W473" s="4" t="str">
        <f>IF(OR(B473="Invalid Date",C473="Invalid Date"),"Invalid Date",IF(C473&lt;B473,"Invalid Shipping","OK"))</f>
        <v>Invalid Date</v>
      </c>
      <c r="X473">
        <f t="shared" si="56"/>
        <v>1</v>
      </c>
      <c r="Y473">
        <f t="shared" si="57"/>
        <v>0.25</v>
      </c>
      <c r="Z473">
        <f t="shared" si="58"/>
        <v>6793.0650000000005</v>
      </c>
      <c r="AA473">
        <f t="shared" si="59"/>
        <v>1807.8450000000003</v>
      </c>
      <c r="AB473" s="6">
        <f t="shared" si="60"/>
        <v>0.26613097327936652</v>
      </c>
      <c r="AC473" t="str">
        <f t="shared" si="61"/>
        <v>February</v>
      </c>
      <c r="AD473">
        <f t="shared" si="62"/>
        <v>2024</v>
      </c>
      <c r="AE473" t="str">
        <f t="shared" si="63"/>
        <v>Invalid</v>
      </c>
    </row>
    <row r="474" spans="1:31">
      <c r="A474" t="s">
        <v>1516</v>
      </c>
      <c r="B474" s="3">
        <v>45353</v>
      </c>
      <c r="C474" s="3">
        <v>45476</v>
      </c>
      <c r="D474" t="s">
        <v>1517</v>
      </c>
      <c r="E474" t="s">
        <v>141</v>
      </c>
      <c r="F474" t="s">
        <v>90</v>
      </c>
      <c r="G474" t="s">
        <v>38</v>
      </c>
      <c r="H474" t="s">
        <v>39</v>
      </c>
      <c r="I474" t="s">
        <v>40</v>
      </c>
      <c r="J474" t="s">
        <v>28</v>
      </c>
      <c r="K474" t="s">
        <v>124</v>
      </c>
      <c r="L474" t="s">
        <v>1518</v>
      </c>
      <c r="M474" t="s">
        <v>59</v>
      </c>
      <c r="N474">
        <v>7</v>
      </c>
      <c r="O474">
        <v>263.45999999999998</v>
      </c>
      <c r="P474">
        <v>0</v>
      </c>
      <c r="Q474">
        <v>1844.22</v>
      </c>
      <c r="R474">
        <v>1094.21</v>
      </c>
      <c r="S474">
        <v>750.01</v>
      </c>
      <c r="T474" t="s">
        <v>32</v>
      </c>
      <c r="U474" t="s">
        <v>33</v>
      </c>
      <c r="V474">
        <f>IF(OR(B474="Invalid Date",C474="Invalid Date"),"Invalid Date",C474-B474)</f>
        <v>123</v>
      </c>
      <c r="W474" s="4" t="str">
        <f>IF(OR(B474="Invalid Date",C474="Invalid Date"),"Invalid Date",IF(C474&lt;B474,"Invalid Shipping","OK"))</f>
        <v>OK</v>
      </c>
      <c r="X474">
        <f t="shared" si="56"/>
        <v>1</v>
      </c>
      <c r="Y474">
        <f t="shared" si="57"/>
        <v>0</v>
      </c>
      <c r="Z474">
        <f t="shared" si="58"/>
        <v>1844.2199999999998</v>
      </c>
      <c r="AA474">
        <f t="shared" si="59"/>
        <v>750.00999999999976</v>
      </c>
      <c r="AB474" s="6">
        <f t="shared" si="60"/>
        <v>0.40668141544934977</v>
      </c>
      <c r="AC474" t="str">
        <f t="shared" si="61"/>
        <v>March</v>
      </c>
      <c r="AD474">
        <f t="shared" si="62"/>
        <v>2024</v>
      </c>
      <c r="AE474" t="str">
        <f t="shared" si="63"/>
        <v>Clean</v>
      </c>
    </row>
    <row r="475" spans="1:31">
      <c r="A475" t="s">
        <v>1519</v>
      </c>
      <c r="B475" s="3">
        <v>45609</v>
      </c>
      <c r="C475" s="3">
        <v>45609</v>
      </c>
      <c r="D475" t="s">
        <v>1520</v>
      </c>
      <c r="E475" t="s">
        <v>114</v>
      </c>
      <c r="F475" t="s">
        <v>24</v>
      </c>
      <c r="G475" t="s">
        <v>63</v>
      </c>
      <c r="H475" t="s">
        <v>190</v>
      </c>
      <c r="I475" t="s">
        <v>191</v>
      </c>
      <c r="J475" t="s">
        <v>74</v>
      </c>
      <c r="K475" t="s">
        <v>80</v>
      </c>
      <c r="L475" t="s">
        <v>1521</v>
      </c>
      <c r="M475" t="s">
        <v>59</v>
      </c>
      <c r="N475">
        <v>6</v>
      </c>
      <c r="O475">
        <v>191.45</v>
      </c>
      <c r="P475">
        <v>0.2</v>
      </c>
      <c r="Q475">
        <v>918.96</v>
      </c>
      <c r="R475">
        <v>554.17999999999995</v>
      </c>
      <c r="S475">
        <v>364.78</v>
      </c>
      <c r="T475" t="s">
        <v>32</v>
      </c>
      <c r="U475" t="s">
        <v>33</v>
      </c>
      <c r="V475">
        <f>IF(OR(B475="Invalid Date",C475="Invalid Date"),"Invalid Date",C475-B475)</f>
        <v>0</v>
      </c>
      <c r="W475" s="4" t="str">
        <f>IF(OR(B475="Invalid Date",C475="Invalid Date"),"Invalid Date",IF(C475&lt;B475,"Invalid Shipping","OK"))</f>
        <v>OK</v>
      </c>
      <c r="X475">
        <f t="shared" si="56"/>
        <v>1</v>
      </c>
      <c r="Y475">
        <f t="shared" si="57"/>
        <v>0.2</v>
      </c>
      <c r="Z475">
        <f t="shared" si="58"/>
        <v>918.95999999999992</v>
      </c>
      <c r="AA475">
        <f t="shared" si="59"/>
        <v>364.78</v>
      </c>
      <c r="AB475" s="6">
        <f t="shared" si="60"/>
        <v>0.39694872464525116</v>
      </c>
      <c r="AC475" t="str">
        <f t="shared" si="61"/>
        <v>November</v>
      </c>
      <c r="AD475">
        <f t="shared" si="62"/>
        <v>2024</v>
      </c>
      <c r="AE475" t="str">
        <f t="shared" si="63"/>
        <v>Clean</v>
      </c>
    </row>
    <row r="476" spans="1:31">
      <c r="A476" t="s">
        <v>1522</v>
      </c>
      <c r="B476" s="3">
        <v>45446</v>
      </c>
      <c r="C476" s="3">
        <v>45453</v>
      </c>
      <c r="D476" t="s">
        <v>1523</v>
      </c>
      <c r="E476" t="s">
        <v>162</v>
      </c>
      <c r="F476" t="s">
        <v>90</v>
      </c>
      <c r="G476" t="s">
        <v>25</v>
      </c>
      <c r="H476" t="s">
        <v>122</v>
      </c>
      <c r="I476" t="s">
        <v>123</v>
      </c>
      <c r="J476" t="s">
        <v>41</v>
      </c>
      <c r="K476" t="s">
        <v>57</v>
      </c>
      <c r="L476" t="s">
        <v>1524</v>
      </c>
      <c r="M476" t="s">
        <v>59</v>
      </c>
      <c r="N476">
        <v>3</v>
      </c>
      <c r="O476">
        <v>1633.57</v>
      </c>
      <c r="P476">
        <v>0</v>
      </c>
      <c r="Q476">
        <v>4900.71</v>
      </c>
      <c r="R476">
        <v>2713.9</v>
      </c>
      <c r="S476">
        <v>2186.81</v>
      </c>
      <c r="T476" t="s">
        <v>32</v>
      </c>
      <c r="U476" t="s">
        <v>33</v>
      </c>
      <c r="V476">
        <f>IF(OR(B476="Invalid Date",C476="Invalid Date"),"Invalid Date",C476-B476)</f>
        <v>7</v>
      </c>
      <c r="W476" s="4" t="str">
        <f>IF(OR(B476="Invalid Date",C476="Invalid Date"),"Invalid Date",IF(C476&lt;B476,"Invalid Shipping","OK"))</f>
        <v>OK</v>
      </c>
      <c r="X476">
        <f t="shared" si="56"/>
        <v>1</v>
      </c>
      <c r="Y476">
        <f t="shared" si="57"/>
        <v>0</v>
      </c>
      <c r="Z476">
        <f t="shared" si="58"/>
        <v>4900.71</v>
      </c>
      <c r="AA476">
        <f t="shared" si="59"/>
        <v>2186.81</v>
      </c>
      <c r="AB476" s="6">
        <f t="shared" si="60"/>
        <v>0.44622309828575857</v>
      </c>
      <c r="AC476" t="str">
        <f t="shared" si="61"/>
        <v>June</v>
      </c>
      <c r="AD476">
        <f t="shared" si="62"/>
        <v>2024</v>
      </c>
      <c r="AE476" t="str">
        <f t="shared" si="63"/>
        <v>Clean</v>
      </c>
    </row>
    <row r="477" spans="1:31">
      <c r="A477" t="s">
        <v>1525</v>
      </c>
      <c r="B477" s="3">
        <v>45660</v>
      </c>
      <c r="C477" s="3">
        <v>45724</v>
      </c>
      <c r="D477" t="s">
        <v>1526</v>
      </c>
      <c r="E477" t="s">
        <v>71</v>
      </c>
      <c r="F477" t="s">
        <v>24</v>
      </c>
      <c r="G477" t="s">
        <v>38</v>
      </c>
      <c r="H477" t="s">
        <v>99</v>
      </c>
      <c r="I477" t="s">
        <v>100</v>
      </c>
      <c r="J477" t="s">
        <v>41</v>
      </c>
      <c r="K477" t="s">
        <v>66</v>
      </c>
      <c r="L477" t="s">
        <v>1527</v>
      </c>
      <c r="M477" t="s">
        <v>44</v>
      </c>
      <c r="N477">
        <v>8</v>
      </c>
      <c r="O477">
        <v>3378.82</v>
      </c>
      <c r="P477">
        <v>0.25</v>
      </c>
      <c r="Q477">
        <v>20272.919999999998</v>
      </c>
      <c r="R477">
        <v>15873.38</v>
      </c>
      <c r="S477">
        <v>4399.54</v>
      </c>
      <c r="T477" t="s">
        <v>111</v>
      </c>
      <c r="U477" t="s">
        <v>103</v>
      </c>
      <c r="V477">
        <f>IF(OR(B477="Invalid Date",C477="Invalid Date"),"Invalid Date",C477-B477)</f>
        <v>64</v>
      </c>
      <c r="W477" s="4" t="str">
        <f>IF(OR(B477="Invalid Date",C477="Invalid Date"),"Invalid Date",IF(C477&lt;B477,"Invalid Shipping","OK"))</f>
        <v>OK</v>
      </c>
      <c r="X477">
        <f t="shared" si="56"/>
        <v>1</v>
      </c>
      <c r="Y477">
        <f t="shared" si="57"/>
        <v>0.25</v>
      </c>
      <c r="Z477">
        <f t="shared" si="58"/>
        <v>20272.920000000002</v>
      </c>
      <c r="AA477">
        <f t="shared" si="59"/>
        <v>4399.5400000000027</v>
      </c>
      <c r="AB477" s="6">
        <f t="shared" si="60"/>
        <v>0.21701560505344086</v>
      </c>
      <c r="AC477" t="str">
        <f t="shared" si="61"/>
        <v>January</v>
      </c>
      <c r="AD477">
        <f t="shared" si="62"/>
        <v>2025</v>
      </c>
      <c r="AE477" t="str">
        <f t="shared" si="63"/>
        <v>Clean</v>
      </c>
    </row>
    <row r="478" spans="1:31">
      <c r="A478" t="s">
        <v>1528</v>
      </c>
      <c r="B478" s="3">
        <v>45478</v>
      </c>
      <c r="C478" s="3" t="s">
        <v>2763</v>
      </c>
      <c r="D478" t="s">
        <v>1529</v>
      </c>
      <c r="E478" t="s">
        <v>132</v>
      </c>
      <c r="F478" t="s">
        <v>37</v>
      </c>
      <c r="G478" t="s">
        <v>25</v>
      </c>
      <c r="H478" t="s">
        <v>26</v>
      </c>
      <c r="I478" t="s">
        <v>27</v>
      </c>
      <c r="J478" t="s">
        <v>28</v>
      </c>
      <c r="K478" t="s">
        <v>124</v>
      </c>
      <c r="L478" t="s">
        <v>1530</v>
      </c>
      <c r="M478" t="s">
        <v>50</v>
      </c>
      <c r="N478">
        <v>3</v>
      </c>
      <c r="O478">
        <v>383.58</v>
      </c>
      <c r="P478">
        <v>0.1</v>
      </c>
      <c r="Q478">
        <v>1035.67</v>
      </c>
      <c r="R478">
        <v>595.41999999999996</v>
      </c>
      <c r="S478">
        <v>440.25</v>
      </c>
      <c r="T478" t="s">
        <v>32</v>
      </c>
      <c r="U478" t="s">
        <v>33</v>
      </c>
      <c r="V478" t="str">
        <f>IF(OR(B478="Invalid Date",C478="Invalid Date"),"Invalid Date",C478-B478)</f>
        <v>Invalid Date</v>
      </c>
      <c r="W478" s="4" t="str">
        <f>IF(OR(B478="Invalid Date",C478="Invalid Date"),"Invalid Date",IF(C478&lt;B478,"Invalid Shipping","OK"))</f>
        <v>Invalid Date</v>
      </c>
      <c r="X478">
        <f t="shared" si="56"/>
        <v>1</v>
      </c>
      <c r="Y478">
        <f t="shared" si="57"/>
        <v>0.1</v>
      </c>
      <c r="Z478">
        <f t="shared" si="58"/>
        <v>1035.6659999999999</v>
      </c>
      <c r="AA478">
        <f t="shared" si="59"/>
        <v>440.24599999999998</v>
      </c>
      <c r="AB478" s="6">
        <f t="shared" si="60"/>
        <v>0.42508492120046426</v>
      </c>
      <c r="AC478" t="str">
        <f t="shared" si="61"/>
        <v>July</v>
      </c>
      <c r="AD478">
        <f t="shared" si="62"/>
        <v>2024</v>
      </c>
      <c r="AE478" t="str">
        <f t="shared" si="63"/>
        <v>Invalid</v>
      </c>
    </row>
    <row r="479" spans="1:31">
      <c r="A479" t="s">
        <v>1531</v>
      </c>
      <c r="B479" s="3" t="s">
        <v>2763</v>
      </c>
      <c r="C479" s="3">
        <v>45897</v>
      </c>
      <c r="D479" t="s">
        <v>1532</v>
      </c>
      <c r="E479" t="s">
        <v>71</v>
      </c>
      <c r="F479" t="s">
        <v>90</v>
      </c>
      <c r="G479" t="s">
        <v>63</v>
      </c>
      <c r="H479" t="s">
        <v>180</v>
      </c>
      <c r="I479" t="s">
        <v>181</v>
      </c>
      <c r="J479" t="s">
        <v>41</v>
      </c>
      <c r="K479" t="s">
        <v>66</v>
      </c>
      <c r="L479" t="s">
        <v>1533</v>
      </c>
      <c r="M479" t="s">
        <v>59</v>
      </c>
      <c r="N479">
        <v>6</v>
      </c>
      <c r="O479">
        <v>2193.23</v>
      </c>
      <c r="P479">
        <v>0.1</v>
      </c>
      <c r="Q479">
        <v>11843.44</v>
      </c>
      <c r="R479">
        <v>9356.8799999999992</v>
      </c>
      <c r="S479">
        <v>2486.56</v>
      </c>
      <c r="T479" t="s">
        <v>32</v>
      </c>
      <c r="U479" t="s">
        <v>68</v>
      </c>
      <c r="V479" t="str">
        <f>IF(OR(B479="Invalid Date",C479="Invalid Date"),"Invalid Date",C479-B479)</f>
        <v>Invalid Date</v>
      </c>
      <c r="W479" s="4" t="str">
        <f>IF(OR(B479="Invalid Date",C479="Invalid Date"),"Invalid Date",IF(C479&lt;B479,"Invalid Shipping","OK"))</f>
        <v>Invalid Date</v>
      </c>
      <c r="X479">
        <f t="shared" si="56"/>
        <v>1</v>
      </c>
      <c r="Y479">
        <f t="shared" si="57"/>
        <v>0.1</v>
      </c>
      <c r="Z479">
        <f t="shared" si="58"/>
        <v>11843.442000000001</v>
      </c>
      <c r="AA479">
        <f t="shared" si="59"/>
        <v>2486.5620000000017</v>
      </c>
      <c r="AB479" s="6">
        <f t="shared" si="60"/>
        <v>0.20995264721184953</v>
      </c>
      <c r="AC479" t="str">
        <f t="shared" si="61"/>
        <v/>
      </c>
      <c r="AD479" t="str">
        <f t="shared" si="62"/>
        <v/>
      </c>
      <c r="AE479" t="str">
        <f t="shared" si="63"/>
        <v>Invalid</v>
      </c>
    </row>
    <row r="480" spans="1:31">
      <c r="A480" t="s">
        <v>1534</v>
      </c>
      <c r="B480" s="3">
        <v>45541</v>
      </c>
      <c r="C480" s="3">
        <v>45456</v>
      </c>
      <c r="D480" t="s">
        <v>1535</v>
      </c>
      <c r="E480" t="s">
        <v>36</v>
      </c>
      <c r="F480" t="s">
        <v>95</v>
      </c>
      <c r="G480" t="s">
        <v>2767</v>
      </c>
      <c r="H480" t="s">
        <v>136</v>
      </c>
      <c r="I480" t="s">
        <v>137</v>
      </c>
      <c r="J480" t="s">
        <v>74</v>
      </c>
      <c r="K480" t="s">
        <v>274</v>
      </c>
      <c r="L480" t="s">
        <v>1536</v>
      </c>
      <c r="M480" t="s">
        <v>44</v>
      </c>
      <c r="N480">
        <v>7</v>
      </c>
      <c r="O480">
        <v>4079.71</v>
      </c>
      <c r="P480">
        <v>0.1</v>
      </c>
      <c r="Q480">
        <v>25702.17</v>
      </c>
      <c r="R480">
        <v>14571.48</v>
      </c>
      <c r="S480">
        <v>11130.69</v>
      </c>
      <c r="T480" t="s">
        <v>102</v>
      </c>
      <c r="U480" t="s">
        <v>103</v>
      </c>
      <c r="V480">
        <f>IF(OR(B480="Invalid Date",C480="Invalid Date"),"Invalid Date",C480-B480)</f>
        <v>-85</v>
      </c>
      <c r="W480" s="4" t="str">
        <f>IF(OR(B480="Invalid Date",C480="Invalid Date"),"Invalid Date",IF(C480&lt;B480,"Invalid Shipping","OK"))</f>
        <v>Invalid Shipping</v>
      </c>
      <c r="X480">
        <f t="shared" si="56"/>
        <v>1</v>
      </c>
      <c r="Y480">
        <f t="shared" si="57"/>
        <v>0.1</v>
      </c>
      <c r="Z480">
        <f t="shared" si="58"/>
        <v>25702.173000000003</v>
      </c>
      <c r="AA480">
        <f t="shared" si="59"/>
        <v>11130.693000000003</v>
      </c>
      <c r="AB480" s="6">
        <f t="shared" si="60"/>
        <v>0.43306427826160854</v>
      </c>
      <c r="AC480" t="str">
        <f t="shared" si="61"/>
        <v>September</v>
      </c>
      <c r="AD480">
        <f t="shared" si="62"/>
        <v>2024</v>
      </c>
      <c r="AE480" t="str">
        <f t="shared" si="63"/>
        <v>Invalid</v>
      </c>
    </row>
    <row r="481" spans="1:31">
      <c r="A481" t="s">
        <v>1537</v>
      </c>
      <c r="B481" s="3">
        <v>45345</v>
      </c>
      <c r="C481" s="3">
        <v>45342</v>
      </c>
      <c r="D481" t="s">
        <v>1538</v>
      </c>
      <c r="E481" t="s">
        <v>53</v>
      </c>
      <c r="F481" t="s">
        <v>90</v>
      </c>
      <c r="G481" t="s">
        <v>38</v>
      </c>
      <c r="H481" t="s">
        <v>39</v>
      </c>
      <c r="I481" t="s">
        <v>40</v>
      </c>
      <c r="J481" t="s">
        <v>41</v>
      </c>
      <c r="K481" t="s">
        <v>66</v>
      </c>
      <c r="L481" t="s">
        <v>1539</v>
      </c>
      <c r="M481" t="s">
        <v>31</v>
      </c>
      <c r="N481">
        <v>1</v>
      </c>
      <c r="O481">
        <v>2202.5500000000002</v>
      </c>
      <c r="P481">
        <v>0</v>
      </c>
      <c r="Q481">
        <v>1651.91</v>
      </c>
      <c r="R481">
        <v>1034.57</v>
      </c>
      <c r="S481">
        <v>617.34</v>
      </c>
      <c r="T481" t="s">
        <v>32</v>
      </c>
      <c r="U481" t="s">
        <v>33</v>
      </c>
      <c r="V481">
        <f>IF(OR(B481="Invalid Date",C481="Invalid Date"),"Invalid Date",C481-B481)</f>
        <v>-3</v>
      </c>
      <c r="W481" s="4" t="str">
        <f>IF(OR(B481="Invalid Date",C481="Invalid Date"),"Invalid Date",IF(C481&lt;B481,"Invalid Shipping","OK"))</f>
        <v>Invalid Shipping</v>
      </c>
      <c r="X481">
        <f t="shared" si="56"/>
        <v>1</v>
      </c>
      <c r="Y481">
        <f t="shared" si="57"/>
        <v>0</v>
      </c>
      <c r="Z481">
        <f t="shared" si="58"/>
        <v>2202.5500000000002</v>
      </c>
      <c r="AA481">
        <f t="shared" si="59"/>
        <v>1167.9800000000002</v>
      </c>
      <c r="AB481" s="6">
        <f t="shared" si="60"/>
        <v>0.53028535107035035</v>
      </c>
      <c r="AC481" t="str">
        <f t="shared" si="61"/>
        <v>February</v>
      </c>
      <c r="AD481">
        <f t="shared" si="62"/>
        <v>2024</v>
      </c>
      <c r="AE481" t="str">
        <f t="shared" si="63"/>
        <v>Invalid</v>
      </c>
    </row>
    <row r="482" spans="1:31">
      <c r="A482" t="s">
        <v>1540</v>
      </c>
      <c r="B482" s="3">
        <v>45662</v>
      </c>
      <c r="C482" s="3">
        <v>45666</v>
      </c>
      <c r="D482" t="s">
        <v>1541</v>
      </c>
      <c r="E482" t="s">
        <v>79</v>
      </c>
      <c r="F482" t="s">
        <v>37</v>
      </c>
      <c r="G482" t="s">
        <v>54</v>
      </c>
      <c r="H482" t="s">
        <v>247</v>
      </c>
      <c r="I482" t="s">
        <v>248</v>
      </c>
      <c r="J482" t="s">
        <v>28</v>
      </c>
      <c r="K482" t="s">
        <v>124</v>
      </c>
      <c r="L482" t="s">
        <v>1542</v>
      </c>
      <c r="M482" t="s">
        <v>2767</v>
      </c>
      <c r="N482">
        <v>5</v>
      </c>
      <c r="O482">
        <v>905.16</v>
      </c>
      <c r="P482">
        <v>0</v>
      </c>
      <c r="Q482">
        <v>4525.8</v>
      </c>
      <c r="R482">
        <v>2714.51</v>
      </c>
      <c r="S482">
        <v>1811.29</v>
      </c>
      <c r="T482" t="s">
        <v>32</v>
      </c>
      <c r="U482" t="s">
        <v>33</v>
      </c>
      <c r="V482">
        <f>IF(OR(B482="Invalid Date",C482="Invalid Date"),"Invalid Date",C482-B482)</f>
        <v>4</v>
      </c>
      <c r="W482" s="4" t="str">
        <f>IF(OR(B482="Invalid Date",C482="Invalid Date"),"Invalid Date",IF(C482&lt;B482,"Invalid Shipping","OK"))</f>
        <v>OK</v>
      </c>
      <c r="X482">
        <f t="shared" si="56"/>
        <v>1</v>
      </c>
      <c r="Y482">
        <f t="shared" si="57"/>
        <v>0</v>
      </c>
      <c r="Z482">
        <f t="shared" si="58"/>
        <v>4525.8</v>
      </c>
      <c r="AA482">
        <f t="shared" si="59"/>
        <v>1811.29</v>
      </c>
      <c r="AB482" s="6">
        <f t="shared" si="60"/>
        <v>0.40021432674886204</v>
      </c>
      <c r="AC482" t="str">
        <f t="shared" si="61"/>
        <v>January</v>
      </c>
      <c r="AD482">
        <f t="shared" si="62"/>
        <v>2025</v>
      </c>
      <c r="AE482" t="str">
        <f t="shared" si="63"/>
        <v>Warning</v>
      </c>
    </row>
    <row r="483" spans="1:31">
      <c r="A483" t="s">
        <v>1543</v>
      </c>
      <c r="B483" s="3">
        <v>45813</v>
      </c>
      <c r="C483" s="3" t="s">
        <v>2763</v>
      </c>
      <c r="D483" t="s">
        <v>1544</v>
      </c>
      <c r="E483" t="s">
        <v>47</v>
      </c>
      <c r="F483" t="s">
        <v>24</v>
      </c>
      <c r="G483" t="s">
        <v>25</v>
      </c>
      <c r="H483" t="s">
        <v>136</v>
      </c>
      <c r="I483" t="s">
        <v>137</v>
      </c>
      <c r="J483" t="s">
        <v>74</v>
      </c>
      <c r="K483" t="s">
        <v>274</v>
      </c>
      <c r="L483" t="s">
        <v>1545</v>
      </c>
      <c r="M483" t="s">
        <v>44</v>
      </c>
      <c r="N483">
        <v>4</v>
      </c>
      <c r="O483">
        <v>2793.88</v>
      </c>
      <c r="P483" t="s">
        <v>767</v>
      </c>
      <c r="Q483">
        <v>10616.74</v>
      </c>
      <c r="R483">
        <v>6353.59</v>
      </c>
      <c r="S483">
        <v>4263.1499999999996</v>
      </c>
      <c r="T483" t="s">
        <v>32</v>
      </c>
      <c r="U483" t="s">
        <v>33</v>
      </c>
      <c r="V483" t="str">
        <f>IF(OR(B483="Invalid Date",C483="Invalid Date"),"Invalid Date",C483-B483)</f>
        <v>Invalid Date</v>
      </c>
      <c r="W483" s="4" t="str">
        <f>IF(OR(B483="Invalid Date",C483="Invalid Date"),"Invalid Date",IF(C483&lt;B483,"Invalid Shipping","OK"))</f>
        <v>Invalid Date</v>
      </c>
      <c r="X483">
        <f t="shared" si="56"/>
        <v>1</v>
      </c>
      <c r="Y483" t="str">
        <f t="shared" si="57"/>
        <v>Invalid</v>
      </c>
      <c r="Z483" t="str">
        <f t="shared" si="58"/>
        <v/>
      </c>
      <c r="AA483" t="str">
        <f t="shared" si="59"/>
        <v/>
      </c>
      <c r="AB483" s="6" t="str">
        <f t="shared" si="60"/>
        <v/>
      </c>
      <c r="AC483" t="str">
        <f t="shared" si="61"/>
        <v>June</v>
      </c>
      <c r="AD483">
        <f t="shared" si="62"/>
        <v>2025</v>
      </c>
      <c r="AE483" t="str">
        <f t="shared" si="63"/>
        <v>Invalid</v>
      </c>
    </row>
    <row r="484" spans="1:31">
      <c r="A484" t="s">
        <v>1546</v>
      </c>
      <c r="B484" s="3" t="s">
        <v>2763</v>
      </c>
      <c r="C484" s="3" t="s">
        <v>2763</v>
      </c>
      <c r="D484" t="s">
        <v>1547</v>
      </c>
      <c r="E484" t="s">
        <v>114</v>
      </c>
      <c r="F484" t="s">
        <v>24</v>
      </c>
      <c r="G484" t="s">
        <v>54</v>
      </c>
      <c r="H484" t="s">
        <v>175</v>
      </c>
      <c r="I484" t="s">
        <v>176</v>
      </c>
      <c r="J484" t="s">
        <v>74</v>
      </c>
      <c r="K484" t="s">
        <v>75</v>
      </c>
      <c r="L484" t="s">
        <v>1548</v>
      </c>
      <c r="M484" t="s">
        <v>31</v>
      </c>
      <c r="N484">
        <v>3</v>
      </c>
      <c r="O484">
        <v>1286.22</v>
      </c>
      <c r="P484">
        <v>0.25</v>
      </c>
      <c r="Q484">
        <v>2893.99</v>
      </c>
      <c r="R484">
        <v>1856.03</v>
      </c>
      <c r="S484">
        <v>1037.96</v>
      </c>
      <c r="T484" t="s">
        <v>32</v>
      </c>
      <c r="U484" t="s">
        <v>33</v>
      </c>
      <c r="V484" t="str">
        <f>IF(OR(B484="Invalid Date",C484="Invalid Date"),"Invalid Date",C484-B484)</f>
        <v>Invalid Date</v>
      </c>
      <c r="W484" s="4" t="str">
        <f>IF(OR(B484="Invalid Date",C484="Invalid Date"),"Invalid Date",IF(C484&lt;B484,"Invalid Shipping","OK"))</f>
        <v>Invalid Date</v>
      </c>
      <c r="X484">
        <f t="shared" si="56"/>
        <v>1</v>
      </c>
      <c r="Y484">
        <f t="shared" si="57"/>
        <v>0.25</v>
      </c>
      <c r="Z484">
        <f t="shared" si="58"/>
        <v>2893.9949999999999</v>
      </c>
      <c r="AA484">
        <f t="shared" si="59"/>
        <v>1037.9649999999999</v>
      </c>
      <c r="AB484" s="6">
        <f t="shared" si="60"/>
        <v>0.35866164247001114</v>
      </c>
      <c r="AC484" t="str">
        <f t="shared" si="61"/>
        <v/>
      </c>
      <c r="AD484" t="str">
        <f t="shared" si="62"/>
        <v/>
      </c>
      <c r="AE484" t="str">
        <f t="shared" si="63"/>
        <v>Invalid</v>
      </c>
    </row>
    <row r="485" spans="1:31">
      <c r="A485" t="s">
        <v>1549</v>
      </c>
      <c r="B485" s="3">
        <v>45651</v>
      </c>
      <c r="C485" s="3">
        <v>45651</v>
      </c>
      <c r="D485" t="s">
        <v>1550</v>
      </c>
      <c r="E485" t="s">
        <v>36</v>
      </c>
      <c r="F485" t="s">
        <v>90</v>
      </c>
      <c r="G485" t="s">
        <v>38</v>
      </c>
      <c r="H485" t="s">
        <v>145</v>
      </c>
      <c r="I485" t="s">
        <v>146</v>
      </c>
      <c r="J485" t="s">
        <v>74</v>
      </c>
      <c r="K485" t="s">
        <v>80</v>
      </c>
      <c r="L485" t="s">
        <v>1551</v>
      </c>
      <c r="M485" t="s">
        <v>59</v>
      </c>
      <c r="N485">
        <v>1</v>
      </c>
      <c r="O485">
        <v>829.66</v>
      </c>
      <c r="P485">
        <v>0.15</v>
      </c>
      <c r="Q485">
        <v>705.21</v>
      </c>
      <c r="R485">
        <v>438.32</v>
      </c>
      <c r="S485">
        <v>266.89</v>
      </c>
      <c r="T485" t="s">
        <v>32</v>
      </c>
      <c r="U485" t="s">
        <v>33</v>
      </c>
      <c r="V485">
        <f>IF(OR(B485="Invalid Date",C485="Invalid Date"),"Invalid Date",C485-B485)</f>
        <v>0</v>
      </c>
      <c r="W485" s="4" t="str">
        <f>IF(OR(B485="Invalid Date",C485="Invalid Date"),"Invalid Date",IF(C485&lt;B485,"Invalid Shipping","OK"))</f>
        <v>OK</v>
      </c>
      <c r="X485">
        <f t="shared" si="56"/>
        <v>1</v>
      </c>
      <c r="Y485">
        <f t="shared" si="57"/>
        <v>0.15</v>
      </c>
      <c r="Z485">
        <f t="shared" si="58"/>
        <v>705.2109999999999</v>
      </c>
      <c r="AA485">
        <f t="shared" si="59"/>
        <v>266.89099999999991</v>
      </c>
      <c r="AB485" s="6">
        <f t="shared" si="60"/>
        <v>0.37845552607659261</v>
      </c>
      <c r="AC485" t="str">
        <f t="shared" si="61"/>
        <v>December</v>
      </c>
      <c r="AD485">
        <f t="shared" si="62"/>
        <v>2024</v>
      </c>
      <c r="AE485" t="str">
        <f t="shared" si="63"/>
        <v>Clean</v>
      </c>
    </row>
    <row r="486" spans="1:31">
      <c r="A486" t="s">
        <v>1552</v>
      </c>
      <c r="B486" s="3">
        <v>45654</v>
      </c>
      <c r="C486" s="3" t="s">
        <v>2763</v>
      </c>
      <c r="D486" t="s">
        <v>1553</v>
      </c>
      <c r="E486" t="s">
        <v>36</v>
      </c>
      <c r="F486" t="s">
        <v>37</v>
      </c>
      <c r="G486" t="s">
        <v>54</v>
      </c>
      <c r="H486" t="s">
        <v>84</v>
      </c>
      <c r="I486" t="s">
        <v>85</v>
      </c>
      <c r="J486" t="s">
        <v>41</v>
      </c>
      <c r="K486" t="s">
        <v>57</v>
      </c>
      <c r="L486" t="s">
        <v>1554</v>
      </c>
      <c r="M486" t="s">
        <v>50</v>
      </c>
      <c r="N486">
        <v>6</v>
      </c>
      <c r="O486">
        <v>3641.22</v>
      </c>
      <c r="P486">
        <v>0.25</v>
      </c>
      <c r="Q486">
        <v>16385.490000000002</v>
      </c>
      <c r="R486">
        <v>13679.24</v>
      </c>
      <c r="S486">
        <v>2706.25</v>
      </c>
      <c r="T486" t="s">
        <v>32</v>
      </c>
      <c r="U486" t="s">
        <v>33</v>
      </c>
      <c r="V486" t="str">
        <f>IF(OR(B486="Invalid Date",C486="Invalid Date"),"Invalid Date",C486-B486)</f>
        <v>Invalid Date</v>
      </c>
      <c r="W486" s="4" t="str">
        <f>IF(OR(B486="Invalid Date",C486="Invalid Date"),"Invalid Date",IF(C486&lt;B486,"Invalid Shipping","OK"))</f>
        <v>Invalid Date</v>
      </c>
      <c r="X486">
        <f t="shared" si="56"/>
        <v>1</v>
      </c>
      <c r="Y486">
        <f t="shared" si="57"/>
        <v>0.25</v>
      </c>
      <c r="Z486">
        <f t="shared" si="58"/>
        <v>16385.489999999998</v>
      </c>
      <c r="AA486">
        <f t="shared" si="59"/>
        <v>2706.2499999999982</v>
      </c>
      <c r="AB486" s="6">
        <f t="shared" si="60"/>
        <v>0.16516137143289572</v>
      </c>
      <c r="AC486" t="str">
        <f t="shared" si="61"/>
        <v>December</v>
      </c>
      <c r="AD486">
        <f t="shared" si="62"/>
        <v>2024</v>
      </c>
      <c r="AE486" t="str">
        <f t="shared" si="63"/>
        <v>Invalid</v>
      </c>
    </row>
    <row r="487" spans="1:31">
      <c r="A487" t="s">
        <v>1555</v>
      </c>
      <c r="B487" s="3">
        <v>45679</v>
      </c>
      <c r="C487" s="3">
        <v>45680</v>
      </c>
      <c r="D487" t="s">
        <v>1556</v>
      </c>
      <c r="E487" t="s">
        <v>118</v>
      </c>
      <c r="F487" t="s">
        <v>90</v>
      </c>
      <c r="G487" t="s">
        <v>63</v>
      </c>
      <c r="H487" t="s">
        <v>190</v>
      </c>
      <c r="I487" t="s">
        <v>191</v>
      </c>
      <c r="J487" t="s">
        <v>41</v>
      </c>
      <c r="K487" t="s">
        <v>158</v>
      </c>
      <c r="L487" t="s">
        <v>1557</v>
      </c>
      <c r="M487" t="s">
        <v>59</v>
      </c>
      <c r="N487">
        <v>4</v>
      </c>
      <c r="O487">
        <v>2555.19</v>
      </c>
      <c r="P487">
        <v>0.25</v>
      </c>
      <c r="Q487">
        <v>7665.57</v>
      </c>
      <c r="R487">
        <v>5595.6</v>
      </c>
      <c r="S487">
        <v>2069.9699999999998</v>
      </c>
      <c r="T487" t="s">
        <v>32</v>
      </c>
      <c r="U487" t="s">
        <v>33</v>
      </c>
      <c r="V487">
        <f>IF(OR(B487="Invalid Date",C487="Invalid Date"),"Invalid Date",C487-B487)</f>
        <v>1</v>
      </c>
      <c r="W487" s="4" t="str">
        <f>IF(OR(B487="Invalid Date",C487="Invalid Date"),"Invalid Date",IF(C487&lt;B487,"Invalid Shipping","OK"))</f>
        <v>OK</v>
      </c>
      <c r="X487">
        <f t="shared" si="56"/>
        <v>1</v>
      </c>
      <c r="Y487">
        <f t="shared" si="57"/>
        <v>0.25</v>
      </c>
      <c r="Z487">
        <f t="shared" si="58"/>
        <v>7665.57</v>
      </c>
      <c r="AA487">
        <f t="shared" si="59"/>
        <v>2069.9699999999993</v>
      </c>
      <c r="AB487" s="6">
        <f t="shared" si="60"/>
        <v>0.27003471366121495</v>
      </c>
      <c r="AC487" t="str">
        <f t="shared" si="61"/>
        <v>January</v>
      </c>
      <c r="AD487">
        <f t="shared" si="62"/>
        <v>2025</v>
      </c>
      <c r="AE487" t="str">
        <f t="shared" si="63"/>
        <v>Clean</v>
      </c>
    </row>
    <row r="488" spans="1:31">
      <c r="A488" t="s">
        <v>1558</v>
      </c>
      <c r="B488" s="3">
        <v>45830</v>
      </c>
      <c r="C488" s="3" t="s">
        <v>2763</v>
      </c>
      <c r="D488" t="s">
        <v>1559</v>
      </c>
      <c r="E488" t="s">
        <v>118</v>
      </c>
      <c r="F488" t="s">
        <v>90</v>
      </c>
      <c r="G488" t="s">
        <v>63</v>
      </c>
      <c r="H488" t="s">
        <v>190</v>
      </c>
      <c r="I488" t="s">
        <v>191</v>
      </c>
      <c r="J488" t="s">
        <v>41</v>
      </c>
      <c r="K488" t="s">
        <v>42</v>
      </c>
      <c r="L488" t="s">
        <v>1560</v>
      </c>
      <c r="M488" t="s">
        <v>59</v>
      </c>
      <c r="N488">
        <v>3</v>
      </c>
      <c r="O488">
        <v>1946.18</v>
      </c>
      <c r="P488">
        <v>0.2</v>
      </c>
      <c r="Q488">
        <v>4670.83</v>
      </c>
      <c r="R488">
        <v>3166.49</v>
      </c>
      <c r="S488">
        <v>1504.34</v>
      </c>
      <c r="T488" t="s">
        <v>32</v>
      </c>
      <c r="U488" t="s">
        <v>33</v>
      </c>
      <c r="V488" t="str">
        <f>IF(OR(B488="Invalid Date",C488="Invalid Date"),"Invalid Date",C488-B488)</f>
        <v>Invalid Date</v>
      </c>
      <c r="W488" s="4" t="str">
        <f>IF(OR(B488="Invalid Date",C488="Invalid Date"),"Invalid Date",IF(C488&lt;B488,"Invalid Shipping","OK"))</f>
        <v>Invalid Date</v>
      </c>
      <c r="X488">
        <f t="shared" si="56"/>
        <v>1</v>
      </c>
      <c r="Y488">
        <f t="shared" si="57"/>
        <v>0.2</v>
      </c>
      <c r="Z488">
        <f t="shared" si="58"/>
        <v>4670.8320000000003</v>
      </c>
      <c r="AA488">
        <f t="shared" si="59"/>
        <v>1504.3420000000006</v>
      </c>
      <c r="AB488" s="6">
        <f t="shared" si="60"/>
        <v>0.3220715281560117</v>
      </c>
      <c r="AC488" t="str">
        <f t="shared" si="61"/>
        <v>June</v>
      </c>
      <c r="AD488">
        <f t="shared" si="62"/>
        <v>2025</v>
      </c>
      <c r="AE488" t="str">
        <f t="shared" si="63"/>
        <v>Invalid</v>
      </c>
    </row>
    <row r="489" spans="1:31">
      <c r="A489" t="s">
        <v>1561</v>
      </c>
      <c r="B489" s="3">
        <v>45818</v>
      </c>
      <c r="C489" s="3" t="s">
        <v>2763</v>
      </c>
      <c r="D489" t="s">
        <v>1562</v>
      </c>
      <c r="E489" t="s">
        <v>118</v>
      </c>
      <c r="F489" t="s">
        <v>90</v>
      </c>
      <c r="G489" t="s">
        <v>54</v>
      </c>
      <c r="H489" t="s">
        <v>55</v>
      </c>
      <c r="I489" t="s">
        <v>56</v>
      </c>
      <c r="J489" t="s">
        <v>41</v>
      </c>
      <c r="K489" t="s">
        <v>57</v>
      </c>
      <c r="L489" t="s">
        <v>1563</v>
      </c>
      <c r="M489" t="s">
        <v>59</v>
      </c>
      <c r="N489">
        <v>5</v>
      </c>
      <c r="O489">
        <v>1231.0999999999999</v>
      </c>
      <c r="P489">
        <v>0</v>
      </c>
      <c r="Q489">
        <v>6155.5</v>
      </c>
      <c r="R489">
        <v>4282.09</v>
      </c>
      <c r="S489">
        <v>1873.41</v>
      </c>
      <c r="T489" t="s">
        <v>102</v>
      </c>
      <c r="U489" t="s">
        <v>103</v>
      </c>
      <c r="V489" t="str">
        <f>IF(OR(B489="Invalid Date",C489="Invalid Date"),"Invalid Date",C489-B489)</f>
        <v>Invalid Date</v>
      </c>
      <c r="W489" s="4" t="str">
        <f>IF(OR(B489="Invalid Date",C489="Invalid Date"),"Invalid Date",IF(C489&lt;B489,"Invalid Shipping","OK"))</f>
        <v>Invalid Date</v>
      </c>
      <c r="X489">
        <f t="shared" si="56"/>
        <v>1</v>
      </c>
      <c r="Y489">
        <f t="shared" si="57"/>
        <v>0</v>
      </c>
      <c r="Z489">
        <f t="shared" si="58"/>
        <v>6155.5</v>
      </c>
      <c r="AA489">
        <f t="shared" si="59"/>
        <v>1873.4099999999999</v>
      </c>
      <c r="AB489" s="6">
        <f t="shared" si="60"/>
        <v>0.3043473316546178</v>
      </c>
      <c r="AC489" t="str">
        <f t="shared" si="61"/>
        <v>June</v>
      </c>
      <c r="AD489">
        <f t="shared" si="62"/>
        <v>2025</v>
      </c>
      <c r="AE489" t="str">
        <f t="shared" si="63"/>
        <v>Invalid</v>
      </c>
    </row>
    <row r="490" spans="1:31">
      <c r="A490" t="s">
        <v>1564</v>
      </c>
      <c r="B490" s="3">
        <v>45579</v>
      </c>
      <c r="C490" s="3">
        <v>45585</v>
      </c>
      <c r="D490" t="s">
        <v>1565</v>
      </c>
      <c r="E490" t="s">
        <v>89</v>
      </c>
      <c r="F490" t="s">
        <v>37</v>
      </c>
      <c r="G490" t="s">
        <v>25</v>
      </c>
      <c r="H490" t="s">
        <v>26</v>
      </c>
      <c r="I490" t="s">
        <v>27</v>
      </c>
      <c r="J490" t="s">
        <v>41</v>
      </c>
      <c r="K490" t="s">
        <v>42</v>
      </c>
      <c r="L490" t="s">
        <v>1566</v>
      </c>
      <c r="M490" t="s">
        <v>44</v>
      </c>
      <c r="N490">
        <v>7</v>
      </c>
      <c r="O490">
        <v>1547.6</v>
      </c>
      <c r="P490">
        <v>0.2</v>
      </c>
      <c r="Q490">
        <v>8666.56</v>
      </c>
      <c r="R490">
        <v>5967.44</v>
      </c>
      <c r="S490">
        <v>2699.12</v>
      </c>
      <c r="T490" t="s">
        <v>32</v>
      </c>
      <c r="U490" t="s">
        <v>33</v>
      </c>
      <c r="V490">
        <f>IF(OR(B490="Invalid Date",C490="Invalid Date"),"Invalid Date",C490-B490)</f>
        <v>6</v>
      </c>
      <c r="W490" s="4" t="str">
        <f>IF(OR(B490="Invalid Date",C490="Invalid Date"),"Invalid Date",IF(C490&lt;B490,"Invalid Shipping","OK"))</f>
        <v>OK</v>
      </c>
      <c r="X490">
        <f t="shared" si="56"/>
        <v>1</v>
      </c>
      <c r="Y490">
        <f t="shared" si="57"/>
        <v>0.2</v>
      </c>
      <c r="Z490">
        <f t="shared" si="58"/>
        <v>8666.56</v>
      </c>
      <c r="AA490">
        <f t="shared" si="59"/>
        <v>2699.12</v>
      </c>
      <c r="AB490" s="6">
        <f t="shared" si="60"/>
        <v>0.31144075619392242</v>
      </c>
      <c r="AC490" t="str">
        <f t="shared" si="61"/>
        <v>October</v>
      </c>
      <c r="AD490">
        <f t="shared" si="62"/>
        <v>2024</v>
      </c>
      <c r="AE490" t="str">
        <f t="shared" si="63"/>
        <v>Clean</v>
      </c>
    </row>
    <row r="491" spans="1:31">
      <c r="A491" t="s">
        <v>1567</v>
      </c>
      <c r="B491" s="3">
        <v>45329</v>
      </c>
      <c r="C491" s="3">
        <v>45334</v>
      </c>
      <c r="D491" t="s">
        <v>1568</v>
      </c>
      <c r="E491" t="s">
        <v>53</v>
      </c>
      <c r="F491" t="s">
        <v>95</v>
      </c>
      <c r="G491" t="s">
        <v>38</v>
      </c>
      <c r="H491" t="s">
        <v>99</v>
      </c>
      <c r="I491" t="s">
        <v>100</v>
      </c>
      <c r="J491" t="s">
        <v>74</v>
      </c>
      <c r="K491" t="s">
        <v>75</v>
      </c>
      <c r="L491" t="s">
        <v>1569</v>
      </c>
      <c r="M491" t="s">
        <v>31</v>
      </c>
      <c r="N491">
        <v>1</v>
      </c>
      <c r="O491">
        <v>452.19</v>
      </c>
      <c r="P491">
        <v>0.2</v>
      </c>
      <c r="Q491">
        <v>361.75</v>
      </c>
      <c r="R491">
        <v>262.52999999999997</v>
      </c>
      <c r="S491">
        <v>99.22</v>
      </c>
      <c r="T491" t="s">
        <v>32</v>
      </c>
      <c r="U491" t="s">
        <v>33</v>
      </c>
      <c r="V491">
        <f>IF(OR(B491="Invalid Date",C491="Invalid Date"),"Invalid Date",C491-B491)</f>
        <v>5</v>
      </c>
      <c r="W491" s="4" t="str">
        <f>IF(OR(B491="Invalid Date",C491="Invalid Date"),"Invalid Date",IF(C491&lt;B491,"Invalid Shipping","OK"))</f>
        <v>OK</v>
      </c>
      <c r="X491">
        <f t="shared" si="56"/>
        <v>1</v>
      </c>
      <c r="Y491">
        <f t="shared" si="57"/>
        <v>0.2</v>
      </c>
      <c r="Z491">
        <f t="shared" si="58"/>
        <v>361.75200000000001</v>
      </c>
      <c r="AA491">
        <f t="shared" si="59"/>
        <v>99.222000000000037</v>
      </c>
      <c r="AB491" s="6">
        <f t="shared" si="60"/>
        <v>0.27428182843495003</v>
      </c>
      <c r="AC491" t="str">
        <f t="shared" si="61"/>
        <v>February</v>
      </c>
      <c r="AD491">
        <f t="shared" si="62"/>
        <v>2024</v>
      </c>
      <c r="AE491" t="str">
        <f t="shared" si="63"/>
        <v>Clean</v>
      </c>
    </row>
    <row r="492" spans="1:31">
      <c r="A492" t="s">
        <v>1570</v>
      </c>
      <c r="B492" s="3">
        <v>45551</v>
      </c>
      <c r="C492" s="3" t="s">
        <v>2763</v>
      </c>
      <c r="D492" t="s">
        <v>1571</v>
      </c>
      <c r="E492" t="s">
        <v>89</v>
      </c>
      <c r="F492" t="s">
        <v>24</v>
      </c>
      <c r="G492" t="s">
        <v>63</v>
      </c>
      <c r="H492" t="s">
        <v>26</v>
      </c>
      <c r="I492" t="s">
        <v>109</v>
      </c>
      <c r="J492" t="s">
        <v>28</v>
      </c>
      <c r="K492" t="s">
        <v>153</v>
      </c>
      <c r="L492" t="s">
        <v>1572</v>
      </c>
      <c r="M492" t="s">
        <v>50</v>
      </c>
      <c r="N492">
        <v>7</v>
      </c>
      <c r="O492">
        <v>406.42</v>
      </c>
      <c r="P492">
        <v>0.15</v>
      </c>
      <c r="Q492">
        <v>2418.1999999999998</v>
      </c>
      <c r="R492">
        <v>1613.82</v>
      </c>
      <c r="S492">
        <v>804.38</v>
      </c>
      <c r="T492" t="s">
        <v>32</v>
      </c>
      <c r="U492" t="s">
        <v>33</v>
      </c>
      <c r="V492" t="str">
        <f>IF(OR(B492="Invalid Date",C492="Invalid Date"),"Invalid Date",C492-B492)</f>
        <v>Invalid Date</v>
      </c>
      <c r="W492" s="4" t="str">
        <f>IF(OR(B492="Invalid Date",C492="Invalid Date"),"Invalid Date",IF(C492&lt;B492,"Invalid Shipping","OK"))</f>
        <v>Invalid Date</v>
      </c>
      <c r="X492">
        <f t="shared" si="56"/>
        <v>1</v>
      </c>
      <c r="Y492">
        <f t="shared" si="57"/>
        <v>0.15</v>
      </c>
      <c r="Z492">
        <f t="shared" si="58"/>
        <v>2418.1990000000001</v>
      </c>
      <c r="AA492">
        <f t="shared" si="59"/>
        <v>804.37900000000013</v>
      </c>
      <c r="AB492" s="6">
        <f t="shared" si="60"/>
        <v>0.33263556886757462</v>
      </c>
      <c r="AC492" t="str">
        <f t="shared" si="61"/>
        <v>September</v>
      </c>
      <c r="AD492">
        <f t="shared" si="62"/>
        <v>2024</v>
      </c>
      <c r="AE492" t="str">
        <f t="shared" si="63"/>
        <v>Invalid</v>
      </c>
    </row>
    <row r="493" spans="1:31">
      <c r="A493" t="s">
        <v>1573</v>
      </c>
      <c r="B493" s="3">
        <v>45776</v>
      </c>
      <c r="C493" s="3">
        <v>45777</v>
      </c>
      <c r="D493" t="s">
        <v>1574</v>
      </c>
      <c r="E493" t="s">
        <v>36</v>
      </c>
      <c r="F493" t="s">
        <v>90</v>
      </c>
      <c r="G493" t="s">
        <v>54</v>
      </c>
      <c r="H493" t="s">
        <v>185</v>
      </c>
      <c r="I493" t="s">
        <v>186</v>
      </c>
      <c r="J493" t="s">
        <v>74</v>
      </c>
      <c r="K493" t="s">
        <v>75</v>
      </c>
      <c r="L493" t="s">
        <v>1575</v>
      </c>
      <c r="M493" t="s">
        <v>59</v>
      </c>
      <c r="N493">
        <v>4</v>
      </c>
      <c r="O493">
        <v>606.58000000000004</v>
      </c>
      <c r="P493">
        <v>0.2</v>
      </c>
      <c r="Q493">
        <v>1941.06</v>
      </c>
      <c r="R493">
        <v>1207.42</v>
      </c>
      <c r="S493">
        <v>733.64</v>
      </c>
      <c r="T493" t="s">
        <v>32</v>
      </c>
      <c r="U493" t="s">
        <v>33</v>
      </c>
      <c r="V493">
        <f>IF(OR(B493="Invalid Date",C493="Invalid Date"),"Invalid Date",C493-B493)</f>
        <v>1</v>
      </c>
      <c r="W493" s="4" t="str">
        <f>IF(OR(B493="Invalid Date",C493="Invalid Date"),"Invalid Date",IF(C493&lt;B493,"Invalid Shipping","OK"))</f>
        <v>OK</v>
      </c>
      <c r="X493">
        <f t="shared" si="56"/>
        <v>1</v>
      </c>
      <c r="Y493">
        <f t="shared" si="57"/>
        <v>0.2</v>
      </c>
      <c r="Z493">
        <f t="shared" si="58"/>
        <v>1941.0560000000003</v>
      </c>
      <c r="AA493">
        <f t="shared" si="59"/>
        <v>733.63600000000019</v>
      </c>
      <c r="AB493" s="6">
        <f t="shared" si="60"/>
        <v>0.37795715321969076</v>
      </c>
      <c r="AC493" t="str">
        <f t="shared" si="61"/>
        <v>April</v>
      </c>
      <c r="AD493">
        <f t="shared" si="62"/>
        <v>2025</v>
      </c>
      <c r="AE493" t="str">
        <f t="shared" si="63"/>
        <v>Clean</v>
      </c>
    </row>
    <row r="494" spans="1:31">
      <c r="A494" t="s">
        <v>1576</v>
      </c>
      <c r="B494" s="3">
        <v>45836</v>
      </c>
      <c r="C494" s="3">
        <v>45695</v>
      </c>
      <c r="D494" t="s">
        <v>1577</v>
      </c>
      <c r="E494" t="s">
        <v>62</v>
      </c>
      <c r="F494" t="s">
        <v>90</v>
      </c>
      <c r="G494" t="s">
        <v>54</v>
      </c>
      <c r="H494" t="s">
        <v>84</v>
      </c>
      <c r="I494" t="s">
        <v>85</v>
      </c>
      <c r="J494" t="s">
        <v>28</v>
      </c>
      <c r="K494" t="s">
        <v>124</v>
      </c>
      <c r="L494" t="s">
        <v>1578</v>
      </c>
      <c r="M494" t="s">
        <v>31</v>
      </c>
      <c r="N494">
        <v>2</v>
      </c>
      <c r="O494">
        <v>2725.44</v>
      </c>
      <c r="P494">
        <v>0.25</v>
      </c>
      <c r="Q494">
        <v>4088.16</v>
      </c>
      <c r="R494">
        <v>3205.68</v>
      </c>
      <c r="S494">
        <v>882.48</v>
      </c>
      <c r="T494" t="s">
        <v>32</v>
      </c>
      <c r="U494" t="s">
        <v>33</v>
      </c>
      <c r="V494">
        <f>IF(OR(B494="Invalid Date",C494="Invalid Date"),"Invalid Date",C494-B494)</f>
        <v>-141</v>
      </c>
      <c r="W494" s="4" t="str">
        <f>IF(OR(B494="Invalid Date",C494="Invalid Date"),"Invalid Date",IF(C494&lt;B494,"Invalid Shipping","OK"))</f>
        <v>Invalid Shipping</v>
      </c>
      <c r="X494">
        <f t="shared" si="56"/>
        <v>1</v>
      </c>
      <c r="Y494">
        <f t="shared" si="57"/>
        <v>0.25</v>
      </c>
      <c r="Z494">
        <f t="shared" si="58"/>
        <v>4088.16</v>
      </c>
      <c r="AA494">
        <f t="shared" si="59"/>
        <v>882.48</v>
      </c>
      <c r="AB494" s="6">
        <f t="shared" si="60"/>
        <v>0.21586239286133616</v>
      </c>
      <c r="AC494" t="str">
        <f t="shared" si="61"/>
        <v>June</v>
      </c>
      <c r="AD494">
        <f t="shared" si="62"/>
        <v>2025</v>
      </c>
      <c r="AE494" t="str">
        <f t="shared" si="63"/>
        <v>Invalid</v>
      </c>
    </row>
    <row r="495" spans="1:31">
      <c r="A495" t="s">
        <v>1579</v>
      </c>
      <c r="B495" s="3">
        <v>45701</v>
      </c>
      <c r="C495" s="3">
        <v>45701</v>
      </c>
      <c r="D495" t="s">
        <v>1580</v>
      </c>
      <c r="E495" t="s">
        <v>264</v>
      </c>
      <c r="F495" t="s">
        <v>90</v>
      </c>
      <c r="G495" t="s">
        <v>38</v>
      </c>
      <c r="H495" t="s">
        <v>39</v>
      </c>
      <c r="I495" t="s">
        <v>40</v>
      </c>
      <c r="J495" t="s">
        <v>28</v>
      </c>
      <c r="K495" t="s">
        <v>29</v>
      </c>
      <c r="L495" t="s">
        <v>1581</v>
      </c>
      <c r="M495" t="s">
        <v>31</v>
      </c>
      <c r="N495">
        <v>7</v>
      </c>
      <c r="O495">
        <v>2296.6999999999998</v>
      </c>
      <c r="P495">
        <v>0.05</v>
      </c>
      <c r="Q495">
        <v>15273.05</v>
      </c>
      <c r="R495">
        <v>11088.76</v>
      </c>
      <c r="S495">
        <v>4184.29</v>
      </c>
      <c r="T495" t="s">
        <v>32</v>
      </c>
      <c r="U495" t="s">
        <v>33</v>
      </c>
      <c r="V495">
        <f>IF(OR(B495="Invalid Date",C495="Invalid Date"),"Invalid Date",C495-B495)</f>
        <v>0</v>
      </c>
      <c r="W495" s="4" t="str">
        <f>IF(OR(B495="Invalid Date",C495="Invalid Date"),"Invalid Date",IF(C495&lt;B495,"Invalid Shipping","OK"))</f>
        <v>OK</v>
      </c>
      <c r="X495">
        <f t="shared" si="56"/>
        <v>1</v>
      </c>
      <c r="Y495">
        <f t="shared" si="57"/>
        <v>0.05</v>
      </c>
      <c r="Z495">
        <f t="shared" si="58"/>
        <v>15273.054999999997</v>
      </c>
      <c r="AA495">
        <f t="shared" si="59"/>
        <v>4184.2949999999964</v>
      </c>
      <c r="AB495" s="6">
        <f t="shared" si="60"/>
        <v>0.27396581757873573</v>
      </c>
      <c r="AC495" t="str">
        <f t="shared" si="61"/>
        <v>February</v>
      </c>
      <c r="AD495">
        <f t="shared" si="62"/>
        <v>2025</v>
      </c>
      <c r="AE495" t="str">
        <f t="shared" si="63"/>
        <v>Clean</v>
      </c>
    </row>
    <row r="496" spans="1:31">
      <c r="A496" t="s">
        <v>1582</v>
      </c>
      <c r="B496" s="3">
        <v>45610</v>
      </c>
      <c r="C496" s="3">
        <v>45618</v>
      </c>
      <c r="D496" t="s">
        <v>1583</v>
      </c>
      <c r="E496" t="s">
        <v>47</v>
      </c>
      <c r="F496" t="s">
        <v>24</v>
      </c>
      <c r="G496" t="s">
        <v>63</v>
      </c>
      <c r="H496" t="s">
        <v>72</v>
      </c>
      <c r="I496" t="s">
        <v>73</v>
      </c>
      <c r="J496" t="s">
        <v>74</v>
      </c>
      <c r="K496" t="s">
        <v>171</v>
      </c>
      <c r="L496" t="s">
        <v>1584</v>
      </c>
      <c r="M496" t="s">
        <v>59</v>
      </c>
      <c r="N496">
        <v>3</v>
      </c>
      <c r="O496">
        <v>671.68</v>
      </c>
      <c r="P496">
        <v>-0.13</v>
      </c>
      <c r="Q496">
        <v>1712.78</v>
      </c>
      <c r="R496">
        <v>1569.38</v>
      </c>
      <c r="S496">
        <v>360.66</v>
      </c>
      <c r="T496" t="s">
        <v>155</v>
      </c>
      <c r="U496" t="s">
        <v>68</v>
      </c>
      <c r="V496">
        <f>IF(OR(B496="Invalid Date",C496="Invalid Date"),"Invalid Date",C496-B496)</f>
        <v>8</v>
      </c>
      <c r="W496" s="4" t="str">
        <f>IF(OR(B496="Invalid Date",C496="Invalid Date"),"Invalid Date",IF(C496&lt;B496,"Invalid Shipping","OK"))</f>
        <v>OK</v>
      </c>
      <c r="X496">
        <f t="shared" si="56"/>
        <v>1</v>
      </c>
      <c r="Y496" t="str">
        <f t="shared" si="57"/>
        <v>Invalid</v>
      </c>
      <c r="Z496" t="str">
        <f t="shared" si="58"/>
        <v/>
      </c>
      <c r="AA496" t="str">
        <f t="shared" si="59"/>
        <v/>
      </c>
      <c r="AB496" s="6" t="str">
        <f t="shared" si="60"/>
        <v/>
      </c>
      <c r="AC496" t="str">
        <f t="shared" si="61"/>
        <v>November</v>
      </c>
      <c r="AD496">
        <f t="shared" si="62"/>
        <v>2024</v>
      </c>
      <c r="AE496" t="str">
        <f t="shared" si="63"/>
        <v>Invalid</v>
      </c>
    </row>
    <row r="497" spans="1:31">
      <c r="A497" t="s">
        <v>1585</v>
      </c>
      <c r="B497" s="3">
        <v>45540</v>
      </c>
      <c r="C497" s="3" t="s">
        <v>2763</v>
      </c>
      <c r="D497" t="s">
        <v>1586</v>
      </c>
      <c r="E497" t="s">
        <v>36</v>
      </c>
      <c r="F497" t="s">
        <v>37</v>
      </c>
      <c r="G497" t="s">
        <v>38</v>
      </c>
      <c r="H497" t="s">
        <v>166</v>
      </c>
      <c r="I497" t="s">
        <v>167</v>
      </c>
      <c r="J497" t="s">
        <v>74</v>
      </c>
      <c r="K497" t="s">
        <v>171</v>
      </c>
      <c r="L497" t="s">
        <v>1587</v>
      </c>
      <c r="M497" t="s">
        <v>31</v>
      </c>
      <c r="N497">
        <v>4</v>
      </c>
      <c r="O497">
        <v>995.98</v>
      </c>
      <c r="P497">
        <v>0.05</v>
      </c>
      <c r="Q497">
        <v>3784.72</v>
      </c>
      <c r="R497">
        <v>2419.2399999999998</v>
      </c>
      <c r="S497">
        <v>1365.48</v>
      </c>
      <c r="T497" t="s">
        <v>102</v>
      </c>
      <c r="U497" t="s">
        <v>103</v>
      </c>
      <c r="V497" t="str">
        <f>IF(OR(B497="Invalid Date",C497="Invalid Date"),"Invalid Date",C497-B497)</f>
        <v>Invalid Date</v>
      </c>
      <c r="W497" s="4" t="str">
        <f>IF(OR(B497="Invalid Date",C497="Invalid Date"),"Invalid Date",IF(C497&lt;B497,"Invalid Shipping","OK"))</f>
        <v>Invalid Date</v>
      </c>
      <c r="X497">
        <f t="shared" si="56"/>
        <v>1</v>
      </c>
      <c r="Y497">
        <f t="shared" si="57"/>
        <v>0.05</v>
      </c>
      <c r="Z497">
        <f t="shared" si="58"/>
        <v>3784.7239999999997</v>
      </c>
      <c r="AA497">
        <f t="shared" si="59"/>
        <v>1365.4839999999999</v>
      </c>
      <c r="AB497" s="6">
        <f t="shared" si="60"/>
        <v>0.36078826355633858</v>
      </c>
      <c r="AC497" t="str">
        <f t="shared" si="61"/>
        <v>September</v>
      </c>
      <c r="AD497">
        <f t="shared" si="62"/>
        <v>2024</v>
      </c>
      <c r="AE497" t="str">
        <f t="shared" si="63"/>
        <v>Invalid</v>
      </c>
    </row>
    <row r="498" spans="1:31">
      <c r="A498" t="s">
        <v>1588</v>
      </c>
      <c r="B498" s="3">
        <v>45842</v>
      </c>
      <c r="C498" s="3">
        <v>45844</v>
      </c>
      <c r="D498" t="s">
        <v>1589</v>
      </c>
      <c r="E498" t="s">
        <v>264</v>
      </c>
      <c r="F498" t="s">
        <v>37</v>
      </c>
      <c r="G498" t="s">
        <v>38</v>
      </c>
      <c r="H498" t="s">
        <v>228</v>
      </c>
      <c r="I498" t="s">
        <v>229</v>
      </c>
      <c r="J498" t="s">
        <v>41</v>
      </c>
      <c r="K498" t="s">
        <v>66</v>
      </c>
      <c r="L498" t="s">
        <v>1590</v>
      </c>
      <c r="M498" t="s">
        <v>31</v>
      </c>
      <c r="N498">
        <v>2</v>
      </c>
      <c r="O498">
        <v>3686.42</v>
      </c>
      <c r="P498">
        <v>0.1</v>
      </c>
      <c r="Q498">
        <v>6635.56</v>
      </c>
      <c r="R498">
        <v>3652.91</v>
      </c>
      <c r="S498">
        <v>2982.65</v>
      </c>
      <c r="T498" t="s">
        <v>32</v>
      </c>
      <c r="U498" t="s">
        <v>33</v>
      </c>
      <c r="V498">
        <f>IF(OR(B498="Invalid Date",C498="Invalid Date"),"Invalid Date",C498-B498)</f>
        <v>2</v>
      </c>
      <c r="W498" s="4" t="str">
        <f>IF(OR(B498="Invalid Date",C498="Invalid Date"),"Invalid Date",IF(C498&lt;B498,"Invalid Shipping","OK"))</f>
        <v>OK</v>
      </c>
      <c r="X498">
        <f t="shared" si="56"/>
        <v>1</v>
      </c>
      <c r="Y498">
        <f t="shared" si="57"/>
        <v>0.1</v>
      </c>
      <c r="Z498">
        <f t="shared" si="58"/>
        <v>6635.5560000000005</v>
      </c>
      <c r="AA498">
        <f t="shared" si="59"/>
        <v>2982.6460000000006</v>
      </c>
      <c r="AB498" s="6">
        <f t="shared" si="60"/>
        <v>0.44949451108543131</v>
      </c>
      <c r="AC498" t="str">
        <f t="shared" si="61"/>
        <v>July</v>
      </c>
      <c r="AD498">
        <f t="shared" si="62"/>
        <v>2025</v>
      </c>
      <c r="AE498" t="str">
        <f t="shared" si="63"/>
        <v>Clean</v>
      </c>
    </row>
    <row r="499" spans="1:31">
      <c r="A499" t="s">
        <v>1591</v>
      </c>
      <c r="B499" s="3">
        <v>45533</v>
      </c>
      <c r="C499" s="3">
        <v>45533</v>
      </c>
      <c r="D499" t="s">
        <v>1592</v>
      </c>
      <c r="E499" t="s">
        <v>132</v>
      </c>
      <c r="F499" t="s">
        <v>37</v>
      </c>
      <c r="G499" t="s">
        <v>25</v>
      </c>
      <c r="H499" t="s">
        <v>136</v>
      </c>
      <c r="I499" t="s">
        <v>137</v>
      </c>
      <c r="J499" t="s">
        <v>74</v>
      </c>
      <c r="K499" t="s">
        <v>75</v>
      </c>
      <c r="L499" t="s">
        <v>1593</v>
      </c>
      <c r="M499" t="s">
        <v>31</v>
      </c>
      <c r="N499">
        <v>1</v>
      </c>
      <c r="O499">
        <v>3106.88</v>
      </c>
      <c r="P499">
        <v>0.2</v>
      </c>
      <c r="Q499">
        <v>2485.5</v>
      </c>
      <c r="R499">
        <v>2028.43</v>
      </c>
      <c r="S499">
        <v>457.07</v>
      </c>
      <c r="T499" t="s">
        <v>32</v>
      </c>
      <c r="U499" t="s">
        <v>68</v>
      </c>
      <c r="V499">
        <f>IF(OR(B499="Invalid Date",C499="Invalid Date"),"Invalid Date",C499-B499)</f>
        <v>0</v>
      </c>
      <c r="W499" s="4" t="str">
        <f>IF(OR(B499="Invalid Date",C499="Invalid Date"),"Invalid Date",IF(C499&lt;B499,"Invalid Shipping","OK"))</f>
        <v>OK</v>
      </c>
      <c r="X499">
        <f t="shared" si="56"/>
        <v>1</v>
      </c>
      <c r="Y499">
        <f t="shared" si="57"/>
        <v>0.2</v>
      </c>
      <c r="Z499">
        <f t="shared" si="58"/>
        <v>2485.5040000000004</v>
      </c>
      <c r="AA499">
        <f t="shared" si="59"/>
        <v>457.0740000000003</v>
      </c>
      <c r="AB499" s="6">
        <f t="shared" si="60"/>
        <v>0.18389590199814615</v>
      </c>
      <c r="AC499" t="str">
        <f t="shared" si="61"/>
        <v>August</v>
      </c>
      <c r="AD499">
        <f t="shared" si="62"/>
        <v>2024</v>
      </c>
      <c r="AE499" t="str">
        <f t="shared" si="63"/>
        <v>Clean</v>
      </c>
    </row>
    <row r="500" spans="1:31">
      <c r="A500" t="s">
        <v>1594</v>
      </c>
      <c r="B500" s="3">
        <v>45907</v>
      </c>
      <c r="C500" s="3">
        <v>45910</v>
      </c>
      <c r="D500" t="s">
        <v>1595</v>
      </c>
      <c r="E500" t="s">
        <v>23</v>
      </c>
      <c r="F500" t="s">
        <v>24</v>
      </c>
      <c r="G500" t="s">
        <v>25</v>
      </c>
      <c r="H500" t="s">
        <v>122</v>
      </c>
      <c r="I500" t="s">
        <v>123</v>
      </c>
      <c r="J500" t="s">
        <v>41</v>
      </c>
      <c r="K500" t="s">
        <v>66</v>
      </c>
      <c r="L500" t="s">
        <v>1596</v>
      </c>
      <c r="M500" t="s">
        <v>44</v>
      </c>
      <c r="N500">
        <v>2</v>
      </c>
      <c r="O500">
        <v>447.55</v>
      </c>
      <c r="P500">
        <v>0.05</v>
      </c>
      <c r="Q500">
        <v>850.35</v>
      </c>
      <c r="R500">
        <v>600.98</v>
      </c>
      <c r="S500">
        <v>249.37</v>
      </c>
      <c r="T500" t="s">
        <v>102</v>
      </c>
      <c r="U500" t="s">
        <v>68</v>
      </c>
      <c r="V500">
        <f>IF(OR(B500="Invalid Date",C500="Invalid Date"),"Invalid Date",C500-B500)</f>
        <v>3</v>
      </c>
      <c r="W500" s="4" t="str">
        <f>IF(OR(B500="Invalid Date",C500="Invalid Date"),"Invalid Date",IF(C500&lt;B500,"Invalid Shipping","OK"))</f>
        <v>OK</v>
      </c>
      <c r="X500">
        <f t="shared" si="56"/>
        <v>1</v>
      </c>
      <c r="Y500">
        <f t="shared" si="57"/>
        <v>0.05</v>
      </c>
      <c r="Z500">
        <f t="shared" si="58"/>
        <v>850.34500000000003</v>
      </c>
      <c r="AA500">
        <f t="shared" si="59"/>
        <v>249.36500000000001</v>
      </c>
      <c r="AB500" s="6">
        <f t="shared" si="60"/>
        <v>0.29325156260106194</v>
      </c>
      <c r="AC500" t="str">
        <f t="shared" si="61"/>
        <v>September</v>
      </c>
      <c r="AD500">
        <f t="shared" si="62"/>
        <v>2025</v>
      </c>
      <c r="AE500" t="str">
        <f t="shared" si="63"/>
        <v>Clean</v>
      </c>
    </row>
    <row r="501" spans="1:31">
      <c r="A501" t="s">
        <v>1597</v>
      </c>
      <c r="B501" s="3">
        <v>45648</v>
      </c>
      <c r="C501" s="3">
        <v>45652</v>
      </c>
      <c r="D501" t="s">
        <v>1598</v>
      </c>
      <c r="E501" t="s">
        <v>118</v>
      </c>
      <c r="F501" t="s">
        <v>95</v>
      </c>
      <c r="G501" t="s">
        <v>25</v>
      </c>
      <c r="H501" t="s">
        <v>136</v>
      </c>
      <c r="I501" t="s">
        <v>137</v>
      </c>
      <c r="J501" t="s">
        <v>41</v>
      </c>
      <c r="K501" t="s">
        <v>66</v>
      </c>
      <c r="L501" t="s">
        <v>1599</v>
      </c>
      <c r="M501" t="s">
        <v>59</v>
      </c>
      <c r="N501">
        <v>9</v>
      </c>
      <c r="O501">
        <v>1110.8699999999999</v>
      </c>
      <c r="P501">
        <v>0</v>
      </c>
      <c r="Q501">
        <v>7498.37</v>
      </c>
      <c r="R501">
        <v>6059.07</v>
      </c>
      <c r="S501">
        <v>1439.3</v>
      </c>
      <c r="T501" t="s">
        <v>32</v>
      </c>
      <c r="U501" t="s">
        <v>68</v>
      </c>
      <c r="V501">
        <f>IF(OR(B501="Invalid Date",C501="Invalid Date"),"Invalid Date",C501-B501)</f>
        <v>4</v>
      </c>
      <c r="W501" s="4" t="str">
        <f>IF(OR(B501="Invalid Date",C501="Invalid Date"),"Invalid Date",IF(C501&lt;B501,"Invalid Shipping","OK"))</f>
        <v>OK</v>
      </c>
      <c r="X501">
        <f t="shared" si="56"/>
        <v>1</v>
      </c>
      <c r="Y501">
        <f t="shared" si="57"/>
        <v>0</v>
      </c>
      <c r="Z501">
        <f t="shared" si="58"/>
        <v>9997.8299999999981</v>
      </c>
      <c r="AA501">
        <f t="shared" si="59"/>
        <v>3938.7599999999984</v>
      </c>
      <c r="AB501" s="6">
        <f t="shared" si="60"/>
        <v>0.3939614896432525</v>
      </c>
      <c r="AC501" t="str">
        <f t="shared" si="61"/>
        <v>December</v>
      </c>
      <c r="AD501">
        <f t="shared" si="62"/>
        <v>2024</v>
      </c>
      <c r="AE501" t="str">
        <f t="shared" si="63"/>
        <v>Clean</v>
      </c>
    </row>
    <row r="502" spans="1:31">
      <c r="A502" t="s">
        <v>1600</v>
      </c>
      <c r="B502" s="3" t="s">
        <v>2763</v>
      </c>
      <c r="C502" s="3" t="s">
        <v>2763</v>
      </c>
      <c r="D502" t="s">
        <v>1601</v>
      </c>
      <c r="E502" t="s">
        <v>132</v>
      </c>
      <c r="F502" t="s">
        <v>24</v>
      </c>
      <c r="G502" t="s">
        <v>54</v>
      </c>
      <c r="H502" t="s">
        <v>185</v>
      </c>
      <c r="I502" t="s">
        <v>186</v>
      </c>
      <c r="J502" t="s">
        <v>74</v>
      </c>
      <c r="K502" t="s">
        <v>171</v>
      </c>
      <c r="L502" t="s">
        <v>1602</v>
      </c>
      <c r="M502" t="s">
        <v>44</v>
      </c>
      <c r="N502">
        <v>9</v>
      </c>
      <c r="O502">
        <v>3795.99</v>
      </c>
      <c r="P502" t="s">
        <v>767</v>
      </c>
      <c r="Q502">
        <v>34163.910000000003</v>
      </c>
      <c r="R502">
        <v>28577.15</v>
      </c>
      <c r="S502">
        <v>5586.76</v>
      </c>
      <c r="T502" t="s">
        <v>32</v>
      </c>
      <c r="U502" t="s">
        <v>33</v>
      </c>
      <c r="V502" t="str">
        <f>IF(OR(B502="Invalid Date",C502="Invalid Date"),"Invalid Date",C502-B502)</f>
        <v>Invalid Date</v>
      </c>
      <c r="W502" s="4" t="str">
        <f>IF(OR(B502="Invalid Date",C502="Invalid Date"),"Invalid Date",IF(C502&lt;B502,"Invalid Shipping","OK"))</f>
        <v>Invalid Date</v>
      </c>
      <c r="X502">
        <f t="shared" si="56"/>
        <v>1</v>
      </c>
      <c r="Y502" t="str">
        <f t="shared" si="57"/>
        <v>Invalid</v>
      </c>
      <c r="Z502" t="str">
        <f t="shared" si="58"/>
        <v/>
      </c>
      <c r="AA502" t="str">
        <f t="shared" si="59"/>
        <v/>
      </c>
      <c r="AB502" s="6" t="str">
        <f t="shared" si="60"/>
        <v/>
      </c>
      <c r="AC502" t="str">
        <f t="shared" si="61"/>
        <v/>
      </c>
      <c r="AD502" t="str">
        <f t="shared" si="62"/>
        <v/>
      </c>
      <c r="AE502" t="str">
        <f t="shared" si="63"/>
        <v>Invalid</v>
      </c>
    </row>
    <row r="503" spans="1:31">
      <c r="A503" t="s">
        <v>1603</v>
      </c>
      <c r="B503" s="3">
        <v>45515</v>
      </c>
      <c r="C503" s="3" t="s">
        <v>2763</v>
      </c>
      <c r="D503" t="s">
        <v>808</v>
      </c>
      <c r="E503" t="s">
        <v>79</v>
      </c>
      <c r="F503" t="s">
        <v>24</v>
      </c>
      <c r="G503" t="s">
        <v>38</v>
      </c>
      <c r="H503" t="s">
        <v>228</v>
      </c>
      <c r="I503" t="s">
        <v>229</v>
      </c>
      <c r="J503" t="s">
        <v>28</v>
      </c>
      <c r="K503" t="s">
        <v>48</v>
      </c>
      <c r="L503" t="s">
        <v>1604</v>
      </c>
      <c r="M503" t="s">
        <v>31</v>
      </c>
      <c r="N503">
        <v>6</v>
      </c>
      <c r="O503">
        <v>3497.54</v>
      </c>
      <c r="P503">
        <v>0.15</v>
      </c>
      <c r="Q503">
        <v>17837.45</v>
      </c>
      <c r="R503">
        <v>13627.02</v>
      </c>
      <c r="S503">
        <v>4210.43</v>
      </c>
      <c r="T503" t="s">
        <v>32</v>
      </c>
      <c r="U503" t="s">
        <v>33</v>
      </c>
      <c r="V503" t="str">
        <f>IF(OR(B503="Invalid Date",C503="Invalid Date"),"Invalid Date",C503-B503)</f>
        <v>Invalid Date</v>
      </c>
      <c r="W503" s="4" t="str">
        <f>IF(OR(B503="Invalid Date",C503="Invalid Date"),"Invalid Date",IF(C503&lt;B503,"Invalid Shipping","OK"))</f>
        <v>Invalid Date</v>
      </c>
      <c r="X503">
        <f t="shared" si="56"/>
        <v>1</v>
      </c>
      <c r="Y503">
        <f t="shared" si="57"/>
        <v>0.15</v>
      </c>
      <c r="Z503">
        <f t="shared" si="58"/>
        <v>17837.453999999998</v>
      </c>
      <c r="AA503">
        <f t="shared" si="59"/>
        <v>4210.4339999999975</v>
      </c>
      <c r="AB503" s="6">
        <f t="shared" si="60"/>
        <v>0.23604456106796395</v>
      </c>
      <c r="AC503" t="str">
        <f t="shared" si="61"/>
        <v>August</v>
      </c>
      <c r="AD503">
        <f t="shared" si="62"/>
        <v>2024</v>
      </c>
      <c r="AE503" t="str">
        <f t="shared" si="63"/>
        <v>Invalid</v>
      </c>
    </row>
    <row r="504" spans="1:31">
      <c r="A504" t="s">
        <v>1605</v>
      </c>
      <c r="B504" s="3">
        <v>45295</v>
      </c>
      <c r="C504" s="3">
        <v>45391</v>
      </c>
      <c r="D504" t="s">
        <v>1606</v>
      </c>
      <c r="E504" t="s">
        <v>114</v>
      </c>
      <c r="F504" t="s">
        <v>37</v>
      </c>
      <c r="G504" t="s">
        <v>38</v>
      </c>
      <c r="H504" t="s">
        <v>39</v>
      </c>
      <c r="I504" t="s">
        <v>40</v>
      </c>
      <c r="J504" t="s">
        <v>74</v>
      </c>
      <c r="K504" t="s">
        <v>80</v>
      </c>
      <c r="L504" t="s">
        <v>1607</v>
      </c>
      <c r="M504" t="s">
        <v>31</v>
      </c>
      <c r="N504">
        <v>6</v>
      </c>
      <c r="O504">
        <v>826.93</v>
      </c>
      <c r="P504">
        <v>0.1</v>
      </c>
      <c r="Q504">
        <v>4465.42</v>
      </c>
      <c r="R504">
        <v>3377.1</v>
      </c>
      <c r="S504">
        <v>1088.32</v>
      </c>
      <c r="T504" t="s">
        <v>32</v>
      </c>
      <c r="U504" t="s">
        <v>33</v>
      </c>
      <c r="V504">
        <f>IF(OR(B504="Invalid Date",C504="Invalid Date"),"Invalid Date",C504-B504)</f>
        <v>96</v>
      </c>
      <c r="W504" s="4" t="str">
        <f>IF(OR(B504="Invalid Date",C504="Invalid Date"),"Invalid Date",IF(C504&lt;B504,"Invalid Shipping","OK"))</f>
        <v>OK</v>
      </c>
      <c r="X504">
        <f t="shared" si="56"/>
        <v>1</v>
      </c>
      <c r="Y504">
        <f t="shared" si="57"/>
        <v>0.1</v>
      </c>
      <c r="Z504">
        <f t="shared" si="58"/>
        <v>4465.4220000000005</v>
      </c>
      <c r="AA504">
        <f t="shared" si="59"/>
        <v>1088.3220000000006</v>
      </c>
      <c r="AB504" s="6">
        <f t="shared" si="60"/>
        <v>0.24372209390288319</v>
      </c>
      <c r="AC504" t="str">
        <f t="shared" si="61"/>
        <v>January</v>
      </c>
      <c r="AD504">
        <f t="shared" si="62"/>
        <v>2024</v>
      </c>
      <c r="AE504" t="str">
        <f t="shared" si="63"/>
        <v>Clean</v>
      </c>
    </row>
    <row r="505" spans="1:31">
      <c r="A505" t="s">
        <v>1608</v>
      </c>
      <c r="B505" s="3">
        <v>45563</v>
      </c>
      <c r="C505" s="3">
        <v>45570</v>
      </c>
      <c r="D505" t="s">
        <v>1609</v>
      </c>
      <c r="E505" t="s">
        <v>128</v>
      </c>
      <c r="F505" t="s">
        <v>24</v>
      </c>
      <c r="G505" t="s">
        <v>54</v>
      </c>
      <c r="H505" t="s">
        <v>247</v>
      </c>
      <c r="I505" t="s">
        <v>248</v>
      </c>
      <c r="J505" t="s">
        <v>74</v>
      </c>
      <c r="K505" t="s">
        <v>171</v>
      </c>
      <c r="L505" t="s">
        <v>1610</v>
      </c>
      <c r="M505" t="s">
        <v>59</v>
      </c>
      <c r="N505">
        <v>7</v>
      </c>
      <c r="O505">
        <v>1681.6</v>
      </c>
      <c r="P505">
        <v>0.1</v>
      </c>
      <c r="Q505">
        <v>10594.08</v>
      </c>
      <c r="R505">
        <v>7160.31</v>
      </c>
      <c r="S505">
        <v>3433.77</v>
      </c>
      <c r="T505" t="s">
        <v>32</v>
      </c>
      <c r="U505" t="s">
        <v>33</v>
      </c>
      <c r="V505">
        <f>IF(OR(B505="Invalid Date",C505="Invalid Date"),"Invalid Date",C505-B505)</f>
        <v>7</v>
      </c>
      <c r="W505" s="4" t="str">
        <f>IF(OR(B505="Invalid Date",C505="Invalid Date"),"Invalid Date",IF(C505&lt;B505,"Invalid Shipping","OK"))</f>
        <v>OK</v>
      </c>
      <c r="X505">
        <f t="shared" si="56"/>
        <v>1</v>
      </c>
      <c r="Y505">
        <f t="shared" si="57"/>
        <v>0.1</v>
      </c>
      <c r="Z505">
        <f t="shared" si="58"/>
        <v>10594.08</v>
      </c>
      <c r="AA505">
        <f t="shared" si="59"/>
        <v>3433.7699999999995</v>
      </c>
      <c r="AB505" s="6">
        <f t="shared" si="60"/>
        <v>0.32412158488514337</v>
      </c>
      <c r="AC505" t="str">
        <f t="shared" si="61"/>
        <v>September</v>
      </c>
      <c r="AD505">
        <f t="shared" si="62"/>
        <v>2024</v>
      </c>
      <c r="AE505" t="str">
        <f t="shared" si="63"/>
        <v>Clean</v>
      </c>
    </row>
    <row r="506" spans="1:31">
      <c r="A506" t="s">
        <v>1611</v>
      </c>
      <c r="B506" s="3">
        <v>45700</v>
      </c>
      <c r="C506" s="3">
        <v>45705</v>
      </c>
      <c r="D506" t="s">
        <v>1612</v>
      </c>
      <c r="E506" t="s">
        <v>53</v>
      </c>
      <c r="F506" t="s">
        <v>90</v>
      </c>
      <c r="G506" t="s">
        <v>63</v>
      </c>
      <c r="H506" t="s">
        <v>180</v>
      </c>
      <c r="I506" t="s">
        <v>181</v>
      </c>
      <c r="J506" t="s">
        <v>28</v>
      </c>
      <c r="K506" t="s">
        <v>48</v>
      </c>
      <c r="L506" t="s">
        <v>1613</v>
      </c>
      <c r="M506" t="s">
        <v>59</v>
      </c>
      <c r="N506">
        <v>4</v>
      </c>
      <c r="O506">
        <v>4328.12</v>
      </c>
      <c r="P506">
        <v>0</v>
      </c>
      <c r="Q506">
        <v>17312.48</v>
      </c>
      <c r="R506">
        <v>14424.22</v>
      </c>
      <c r="S506">
        <v>2888.26</v>
      </c>
      <c r="T506" t="s">
        <v>32</v>
      </c>
      <c r="U506" t="s">
        <v>33</v>
      </c>
      <c r="V506">
        <f>IF(OR(B506="Invalid Date",C506="Invalid Date"),"Invalid Date",C506-B506)</f>
        <v>5</v>
      </c>
      <c r="W506" s="4" t="str">
        <f>IF(OR(B506="Invalid Date",C506="Invalid Date"),"Invalid Date",IF(C506&lt;B506,"Invalid Shipping","OK"))</f>
        <v>OK</v>
      </c>
      <c r="X506">
        <f t="shared" si="56"/>
        <v>1</v>
      </c>
      <c r="Y506">
        <f t="shared" si="57"/>
        <v>0</v>
      </c>
      <c r="Z506">
        <f t="shared" si="58"/>
        <v>17312.48</v>
      </c>
      <c r="AA506">
        <f t="shared" si="59"/>
        <v>2888.26</v>
      </c>
      <c r="AB506" s="6">
        <f t="shared" si="60"/>
        <v>0.16683109525613893</v>
      </c>
      <c r="AC506" t="str">
        <f t="shared" si="61"/>
        <v>February</v>
      </c>
      <c r="AD506">
        <f t="shared" si="62"/>
        <v>2025</v>
      </c>
      <c r="AE506" t="str">
        <f t="shared" si="63"/>
        <v>Clean</v>
      </c>
    </row>
    <row r="507" spans="1:31">
      <c r="A507" t="s">
        <v>1614</v>
      </c>
      <c r="B507" s="3">
        <v>45605</v>
      </c>
      <c r="C507" s="3">
        <v>45610</v>
      </c>
      <c r="D507" t="s">
        <v>1615</v>
      </c>
      <c r="E507" t="s">
        <v>79</v>
      </c>
      <c r="F507" t="s">
        <v>90</v>
      </c>
      <c r="G507" t="s">
        <v>63</v>
      </c>
      <c r="H507" t="s">
        <v>72</v>
      </c>
      <c r="I507" t="s">
        <v>73</v>
      </c>
      <c r="J507" t="s">
        <v>28</v>
      </c>
      <c r="K507" t="s">
        <v>48</v>
      </c>
      <c r="L507" t="s">
        <v>1616</v>
      </c>
      <c r="M507" t="s">
        <v>50</v>
      </c>
      <c r="N507">
        <v>9</v>
      </c>
      <c r="O507">
        <v>2438.29</v>
      </c>
      <c r="P507">
        <v>0.2</v>
      </c>
      <c r="Q507">
        <v>17555.689999999999</v>
      </c>
      <c r="R507">
        <v>13293.2</v>
      </c>
      <c r="S507">
        <v>4262.49</v>
      </c>
      <c r="T507" t="s">
        <v>32</v>
      </c>
      <c r="U507" t="s">
        <v>68</v>
      </c>
      <c r="V507">
        <f>IF(OR(B507="Invalid Date",C507="Invalid Date"),"Invalid Date",C507-B507)</f>
        <v>5</v>
      </c>
      <c r="W507" s="4" t="str">
        <f>IF(OR(B507="Invalid Date",C507="Invalid Date"),"Invalid Date",IF(C507&lt;B507,"Invalid Shipping","OK"))</f>
        <v>OK</v>
      </c>
      <c r="X507">
        <f t="shared" si="56"/>
        <v>1</v>
      </c>
      <c r="Y507">
        <f t="shared" si="57"/>
        <v>0.2</v>
      </c>
      <c r="Z507">
        <f t="shared" si="58"/>
        <v>17555.688000000002</v>
      </c>
      <c r="AA507">
        <f t="shared" si="59"/>
        <v>4262.4880000000012</v>
      </c>
      <c r="AB507" s="6">
        <f t="shared" si="60"/>
        <v>0.24279811762432785</v>
      </c>
      <c r="AC507" t="str">
        <f t="shared" si="61"/>
        <v>November</v>
      </c>
      <c r="AD507">
        <f t="shared" si="62"/>
        <v>2024</v>
      </c>
      <c r="AE507" t="str">
        <f t="shared" si="63"/>
        <v>Clean</v>
      </c>
    </row>
    <row r="508" spans="1:31">
      <c r="A508" t="s">
        <v>1617</v>
      </c>
      <c r="B508" s="3">
        <v>45641</v>
      </c>
      <c r="C508" s="3">
        <v>45641</v>
      </c>
      <c r="D508" t="s">
        <v>1618</v>
      </c>
      <c r="E508" t="s">
        <v>128</v>
      </c>
      <c r="F508" t="s">
        <v>37</v>
      </c>
      <c r="G508" t="s">
        <v>25</v>
      </c>
      <c r="H508" t="s">
        <v>122</v>
      </c>
      <c r="I508" t="s">
        <v>123</v>
      </c>
      <c r="J508" t="s">
        <v>41</v>
      </c>
      <c r="K508" t="s">
        <v>57</v>
      </c>
      <c r="L508" t="s">
        <v>1619</v>
      </c>
      <c r="M508" t="s">
        <v>50</v>
      </c>
      <c r="N508">
        <v>2</v>
      </c>
      <c r="O508">
        <v>669.8</v>
      </c>
      <c r="P508">
        <v>0.1</v>
      </c>
      <c r="Q508">
        <v>1205.6400000000001</v>
      </c>
      <c r="R508">
        <v>842.07</v>
      </c>
      <c r="S508">
        <v>363.57</v>
      </c>
      <c r="T508" t="s">
        <v>102</v>
      </c>
      <c r="U508" t="s">
        <v>103</v>
      </c>
      <c r="V508">
        <f>IF(OR(B508="Invalid Date",C508="Invalid Date"),"Invalid Date",C508-B508)</f>
        <v>0</v>
      </c>
      <c r="W508" s="4" t="str">
        <f>IF(OR(B508="Invalid Date",C508="Invalid Date"),"Invalid Date",IF(C508&lt;B508,"Invalid Shipping","OK"))</f>
        <v>OK</v>
      </c>
      <c r="X508">
        <f t="shared" si="56"/>
        <v>1</v>
      </c>
      <c r="Y508">
        <f t="shared" si="57"/>
        <v>0.1</v>
      </c>
      <c r="Z508">
        <f t="shared" si="58"/>
        <v>1205.6399999999999</v>
      </c>
      <c r="AA508">
        <f t="shared" si="59"/>
        <v>363.56999999999982</v>
      </c>
      <c r="AB508" s="6">
        <f t="shared" si="60"/>
        <v>0.30155767890912699</v>
      </c>
      <c r="AC508" t="str">
        <f t="shared" si="61"/>
        <v>December</v>
      </c>
      <c r="AD508">
        <f t="shared" si="62"/>
        <v>2024</v>
      </c>
      <c r="AE508" t="str">
        <f t="shared" si="63"/>
        <v>Clean</v>
      </c>
    </row>
    <row r="509" spans="1:31">
      <c r="A509" t="s">
        <v>1620</v>
      </c>
      <c r="B509" s="3">
        <v>45762</v>
      </c>
      <c r="C509" s="3">
        <v>45769</v>
      </c>
      <c r="D509" t="s">
        <v>1621</v>
      </c>
      <c r="E509" t="s">
        <v>47</v>
      </c>
      <c r="F509" t="s">
        <v>37</v>
      </c>
      <c r="G509" t="s">
        <v>25</v>
      </c>
      <c r="H509" t="s">
        <v>236</v>
      </c>
      <c r="I509" t="s">
        <v>237</v>
      </c>
      <c r="J509" t="s">
        <v>28</v>
      </c>
      <c r="K509" t="s">
        <v>153</v>
      </c>
      <c r="L509" t="s">
        <v>1622</v>
      </c>
      <c r="M509" t="s">
        <v>44</v>
      </c>
      <c r="N509">
        <v>4</v>
      </c>
      <c r="O509">
        <v>2990.42</v>
      </c>
      <c r="P509">
        <v>0.25</v>
      </c>
      <c r="Q509">
        <v>8971.26</v>
      </c>
      <c r="R509">
        <v>6814.35</v>
      </c>
      <c r="S509">
        <v>2156.91</v>
      </c>
      <c r="T509" t="s">
        <v>32</v>
      </c>
      <c r="U509" t="s">
        <v>33</v>
      </c>
      <c r="V509">
        <f>IF(OR(B509="Invalid Date",C509="Invalid Date"),"Invalid Date",C509-B509)</f>
        <v>7</v>
      </c>
      <c r="W509" s="4" t="str">
        <f>IF(OR(B509="Invalid Date",C509="Invalid Date"),"Invalid Date",IF(C509&lt;B509,"Invalid Shipping","OK"))</f>
        <v>OK</v>
      </c>
      <c r="X509">
        <f t="shared" si="56"/>
        <v>1</v>
      </c>
      <c r="Y509">
        <f t="shared" si="57"/>
        <v>0.25</v>
      </c>
      <c r="Z509">
        <f t="shared" si="58"/>
        <v>8971.26</v>
      </c>
      <c r="AA509">
        <f t="shared" si="59"/>
        <v>2156.91</v>
      </c>
      <c r="AB509" s="6">
        <f t="shared" si="60"/>
        <v>0.24042442198754688</v>
      </c>
      <c r="AC509" t="str">
        <f t="shared" si="61"/>
        <v>April</v>
      </c>
      <c r="AD509">
        <f t="shared" si="62"/>
        <v>2025</v>
      </c>
      <c r="AE509" t="str">
        <f t="shared" si="63"/>
        <v>Clean</v>
      </c>
    </row>
    <row r="510" spans="1:31">
      <c r="A510" t="s">
        <v>1623</v>
      </c>
      <c r="B510" s="3">
        <v>45382</v>
      </c>
      <c r="C510" s="3">
        <v>45389</v>
      </c>
      <c r="D510" t="s">
        <v>1624</v>
      </c>
      <c r="E510" t="s">
        <v>47</v>
      </c>
      <c r="F510" t="s">
        <v>37</v>
      </c>
      <c r="G510" t="s">
        <v>25</v>
      </c>
      <c r="H510" t="s">
        <v>236</v>
      </c>
      <c r="I510" t="s">
        <v>237</v>
      </c>
      <c r="J510" t="s">
        <v>74</v>
      </c>
      <c r="K510" t="s">
        <v>274</v>
      </c>
      <c r="L510" t="s">
        <v>1625</v>
      </c>
      <c r="M510" t="s">
        <v>31</v>
      </c>
      <c r="N510">
        <v>4</v>
      </c>
      <c r="O510">
        <v>1831</v>
      </c>
      <c r="P510">
        <v>0</v>
      </c>
      <c r="Q510">
        <v>7324</v>
      </c>
      <c r="R510">
        <v>4179.63</v>
      </c>
      <c r="S510">
        <v>3144.37</v>
      </c>
      <c r="T510" t="s">
        <v>32</v>
      </c>
      <c r="U510" t="s">
        <v>33</v>
      </c>
      <c r="V510">
        <f>IF(OR(B510="Invalid Date",C510="Invalid Date"),"Invalid Date",C510-B510)</f>
        <v>7</v>
      </c>
      <c r="W510" s="4" t="str">
        <f>IF(OR(B510="Invalid Date",C510="Invalid Date"),"Invalid Date",IF(C510&lt;B510,"Invalid Shipping","OK"))</f>
        <v>OK</v>
      </c>
      <c r="X510">
        <f t="shared" si="56"/>
        <v>1</v>
      </c>
      <c r="Y510">
        <f t="shared" si="57"/>
        <v>0</v>
      </c>
      <c r="Z510">
        <f t="shared" si="58"/>
        <v>7324</v>
      </c>
      <c r="AA510">
        <f t="shared" si="59"/>
        <v>3144.37</v>
      </c>
      <c r="AB510" s="6">
        <f t="shared" si="60"/>
        <v>0.42932413981430911</v>
      </c>
      <c r="AC510" t="str">
        <f t="shared" si="61"/>
        <v>March</v>
      </c>
      <c r="AD510">
        <f t="shared" si="62"/>
        <v>2024</v>
      </c>
      <c r="AE510" t="str">
        <f t="shared" si="63"/>
        <v>Clean</v>
      </c>
    </row>
    <row r="511" spans="1:31">
      <c r="A511" t="s">
        <v>1626</v>
      </c>
      <c r="B511" s="3">
        <v>45789</v>
      </c>
      <c r="C511" s="3" t="s">
        <v>2763</v>
      </c>
      <c r="D511" t="s">
        <v>1627</v>
      </c>
      <c r="E511" t="s">
        <v>79</v>
      </c>
      <c r="F511" t="s">
        <v>24</v>
      </c>
      <c r="G511" t="s">
        <v>63</v>
      </c>
      <c r="H511" t="s">
        <v>180</v>
      </c>
      <c r="I511" t="s">
        <v>181</v>
      </c>
      <c r="J511" t="s">
        <v>74</v>
      </c>
      <c r="K511" t="s">
        <v>274</v>
      </c>
      <c r="L511" t="s">
        <v>1628</v>
      </c>
      <c r="M511" t="s">
        <v>44</v>
      </c>
      <c r="N511">
        <v>8</v>
      </c>
      <c r="O511">
        <v>3631.44</v>
      </c>
      <c r="P511">
        <v>0.2</v>
      </c>
      <c r="Q511">
        <v>23241.22</v>
      </c>
      <c r="R511">
        <v>17220.900000000001</v>
      </c>
      <c r="S511">
        <v>6020.32</v>
      </c>
      <c r="T511" t="s">
        <v>32</v>
      </c>
      <c r="U511" t="s">
        <v>33</v>
      </c>
      <c r="V511" t="str">
        <f>IF(OR(B511="Invalid Date",C511="Invalid Date"),"Invalid Date",C511-B511)</f>
        <v>Invalid Date</v>
      </c>
      <c r="W511" s="4" t="str">
        <f>IF(OR(B511="Invalid Date",C511="Invalid Date"),"Invalid Date",IF(C511&lt;B511,"Invalid Shipping","OK"))</f>
        <v>Invalid Date</v>
      </c>
      <c r="X511">
        <f t="shared" si="56"/>
        <v>1</v>
      </c>
      <c r="Y511">
        <f t="shared" si="57"/>
        <v>0.2</v>
      </c>
      <c r="Z511">
        <f t="shared" si="58"/>
        <v>23241.216</v>
      </c>
      <c r="AA511">
        <f t="shared" si="59"/>
        <v>6020.3159999999989</v>
      </c>
      <c r="AB511" s="6">
        <f t="shared" si="60"/>
        <v>0.25903618812371948</v>
      </c>
      <c r="AC511" t="str">
        <f t="shared" si="61"/>
        <v>May</v>
      </c>
      <c r="AD511">
        <f t="shared" si="62"/>
        <v>2025</v>
      </c>
      <c r="AE511" t="str">
        <f t="shared" si="63"/>
        <v>Invalid</v>
      </c>
    </row>
    <row r="512" spans="1:31">
      <c r="A512" t="s">
        <v>1629</v>
      </c>
      <c r="B512" s="3" t="s">
        <v>2763</v>
      </c>
      <c r="C512" s="3">
        <v>45586</v>
      </c>
      <c r="D512" t="s">
        <v>1630</v>
      </c>
      <c r="E512" t="s">
        <v>128</v>
      </c>
      <c r="F512" t="s">
        <v>24</v>
      </c>
      <c r="G512" t="s">
        <v>54</v>
      </c>
      <c r="H512" t="s">
        <v>175</v>
      </c>
      <c r="I512" t="s">
        <v>176</v>
      </c>
      <c r="J512" t="s">
        <v>28</v>
      </c>
      <c r="K512" t="s">
        <v>124</v>
      </c>
      <c r="L512" t="s">
        <v>1631</v>
      </c>
      <c r="M512" t="s">
        <v>31</v>
      </c>
      <c r="N512">
        <v>2</v>
      </c>
      <c r="O512">
        <v>4238.51</v>
      </c>
      <c r="P512">
        <v>0</v>
      </c>
      <c r="Q512">
        <v>8477.02</v>
      </c>
      <c r="R512">
        <v>6884.96</v>
      </c>
      <c r="S512">
        <v>1592.06</v>
      </c>
      <c r="T512" t="s">
        <v>32</v>
      </c>
      <c r="U512" t="s">
        <v>33</v>
      </c>
      <c r="V512" t="str">
        <f>IF(OR(B512="Invalid Date",C512="Invalid Date"),"Invalid Date",C512-B512)</f>
        <v>Invalid Date</v>
      </c>
      <c r="W512" s="4" t="str">
        <f>IF(OR(B512="Invalid Date",C512="Invalid Date"),"Invalid Date",IF(C512&lt;B512,"Invalid Shipping","OK"))</f>
        <v>Invalid Date</v>
      </c>
      <c r="X512">
        <f t="shared" si="56"/>
        <v>1</v>
      </c>
      <c r="Y512">
        <f t="shared" si="57"/>
        <v>0</v>
      </c>
      <c r="Z512">
        <f t="shared" si="58"/>
        <v>8477.02</v>
      </c>
      <c r="AA512">
        <f t="shared" si="59"/>
        <v>1592.0600000000004</v>
      </c>
      <c r="AB512" s="6">
        <f t="shared" si="60"/>
        <v>0.18780892341884298</v>
      </c>
      <c r="AC512" t="str">
        <f t="shared" si="61"/>
        <v/>
      </c>
      <c r="AD512" t="str">
        <f t="shared" si="62"/>
        <v/>
      </c>
      <c r="AE512" t="str">
        <f t="shared" si="63"/>
        <v>Invalid</v>
      </c>
    </row>
    <row r="513" spans="1:31">
      <c r="A513" t="s">
        <v>1632</v>
      </c>
      <c r="B513" s="3" t="s">
        <v>2763</v>
      </c>
      <c r="C513" s="3">
        <v>45591</v>
      </c>
      <c r="D513" t="s">
        <v>1633</v>
      </c>
      <c r="E513" t="s">
        <v>132</v>
      </c>
      <c r="F513" t="s">
        <v>24</v>
      </c>
      <c r="G513" t="s">
        <v>63</v>
      </c>
      <c r="H513" t="s">
        <v>72</v>
      </c>
      <c r="I513" t="s">
        <v>73</v>
      </c>
      <c r="J513" t="s">
        <v>41</v>
      </c>
      <c r="K513" t="s">
        <v>158</v>
      </c>
      <c r="L513" t="s">
        <v>1634</v>
      </c>
      <c r="M513" t="s">
        <v>59</v>
      </c>
      <c r="N513">
        <v>9</v>
      </c>
      <c r="O513">
        <v>544.27</v>
      </c>
      <c r="P513">
        <v>0.25</v>
      </c>
      <c r="Q513">
        <v>3673.82</v>
      </c>
      <c r="R513">
        <v>2088.15</v>
      </c>
      <c r="S513">
        <v>1585.67</v>
      </c>
      <c r="T513" t="s">
        <v>32</v>
      </c>
      <c r="U513" t="s">
        <v>33</v>
      </c>
      <c r="V513" t="str">
        <f>IF(OR(B513="Invalid Date",C513="Invalid Date"),"Invalid Date",C513-B513)</f>
        <v>Invalid Date</v>
      </c>
      <c r="W513" s="4" t="str">
        <f>IF(OR(B513="Invalid Date",C513="Invalid Date"),"Invalid Date",IF(C513&lt;B513,"Invalid Shipping","OK"))</f>
        <v>Invalid Date</v>
      </c>
      <c r="X513">
        <f t="shared" si="56"/>
        <v>1</v>
      </c>
      <c r="Y513">
        <f t="shared" si="57"/>
        <v>0.25</v>
      </c>
      <c r="Z513">
        <f t="shared" si="58"/>
        <v>3673.8225000000002</v>
      </c>
      <c r="AA513">
        <f t="shared" si="59"/>
        <v>1585.6725000000001</v>
      </c>
      <c r="AB513" s="6">
        <f t="shared" si="60"/>
        <v>0.43161380278987349</v>
      </c>
      <c r="AC513" t="str">
        <f t="shared" si="61"/>
        <v/>
      </c>
      <c r="AD513" t="str">
        <f t="shared" si="62"/>
        <v/>
      </c>
      <c r="AE513" t="str">
        <f t="shared" si="63"/>
        <v>Invalid</v>
      </c>
    </row>
    <row r="514" spans="1:31">
      <c r="A514" t="s">
        <v>1635</v>
      </c>
      <c r="B514" s="3">
        <v>45691</v>
      </c>
      <c r="C514" s="3">
        <v>45719</v>
      </c>
      <c r="D514" t="s">
        <v>1247</v>
      </c>
      <c r="E514" t="s">
        <v>47</v>
      </c>
      <c r="F514" t="s">
        <v>90</v>
      </c>
      <c r="G514" t="s">
        <v>54</v>
      </c>
      <c r="H514" t="s">
        <v>185</v>
      </c>
      <c r="I514" t="s">
        <v>186</v>
      </c>
      <c r="J514" t="s">
        <v>28</v>
      </c>
      <c r="K514" t="s">
        <v>91</v>
      </c>
      <c r="L514" t="s">
        <v>1636</v>
      </c>
      <c r="M514" t="s">
        <v>31</v>
      </c>
      <c r="N514">
        <v>2</v>
      </c>
      <c r="O514">
        <v>4031.45</v>
      </c>
      <c r="P514">
        <v>0.25</v>
      </c>
      <c r="Q514">
        <v>6047.17</v>
      </c>
      <c r="R514">
        <v>3368.79</v>
      </c>
      <c r="S514">
        <v>2678.38</v>
      </c>
      <c r="T514" t="s">
        <v>32</v>
      </c>
      <c r="U514" t="s">
        <v>33</v>
      </c>
      <c r="V514">
        <f>IF(OR(B514="Invalid Date",C514="Invalid Date"),"Invalid Date",C514-B514)</f>
        <v>28</v>
      </c>
      <c r="W514" s="4" t="str">
        <f>IF(OR(B514="Invalid Date",C514="Invalid Date"),"Invalid Date",IF(C514&lt;B514,"Invalid Shipping","OK"))</f>
        <v>OK</v>
      </c>
      <c r="X514">
        <f t="shared" si="56"/>
        <v>1</v>
      </c>
      <c r="Y514">
        <f t="shared" si="57"/>
        <v>0.25</v>
      </c>
      <c r="Z514">
        <f t="shared" si="58"/>
        <v>6047.1749999999993</v>
      </c>
      <c r="AA514">
        <f t="shared" si="59"/>
        <v>2678.3849999999993</v>
      </c>
      <c r="AB514" s="6">
        <f t="shared" si="60"/>
        <v>0.44291508018206843</v>
      </c>
      <c r="AC514" t="str">
        <f t="shared" si="61"/>
        <v>February</v>
      </c>
      <c r="AD514">
        <f t="shared" si="62"/>
        <v>2025</v>
      </c>
      <c r="AE514" t="str">
        <f t="shared" si="63"/>
        <v>Clean</v>
      </c>
    </row>
    <row r="515" spans="1:31">
      <c r="A515" t="s">
        <v>1637</v>
      </c>
      <c r="B515" s="3">
        <v>45835</v>
      </c>
      <c r="C515" s="3">
        <v>45695</v>
      </c>
      <c r="D515" t="s">
        <v>1638</v>
      </c>
      <c r="E515" t="s">
        <v>128</v>
      </c>
      <c r="F515" t="s">
        <v>90</v>
      </c>
      <c r="G515" t="s">
        <v>54</v>
      </c>
      <c r="H515" t="s">
        <v>185</v>
      </c>
      <c r="I515" t="s">
        <v>186</v>
      </c>
      <c r="J515" t="s">
        <v>74</v>
      </c>
      <c r="K515" t="s">
        <v>75</v>
      </c>
      <c r="L515" t="s">
        <v>1639</v>
      </c>
      <c r="M515" t="s">
        <v>50</v>
      </c>
      <c r="N515">
        <v>6</v>
      </c>
      <c r="O515">
        <v>1099.49</v>
      </c>
      <c r="P515">
        <v>0.1</v>
      </c>
      <c r="Q515">
        <v>6212.38</v>
      </c>
      <c r="R515">
        <v>4088.46</v>
      </c>
      <c r="S515">
        <v>1848.79</v>
      </c>
      <c r="T515" t="s">
        <v>32</v>
      </c>
      <c r="U515" t="s">
        <v>33</v>
      </c>
      <c r="V515">
        <f>IF(OR(B515="Invalid Date",C515="Invalid Date"),"Invalid Date",C515-B515)</f>
        <v>-140</v>
      </c>
      <c r="W515" s="4" t="str">
        <f>IF(OR(B515="Invalid Date",C515="Invalid Date"),"Invalid Date",IF(C515&lt;B515,"Invalid Shipping","OK"))</f>
        <v>Invalid Shipping</v>
      </c>
      <c r="X515">
        <f t="shared" ref="X515:X578" si="64">COUNTIF($A:$A,A515)</f>
        <v>1</v>
      </c>
      <c r="Y515">
        <f t="shared" ref="Y515:Y578" si="65">IF(P515="",0,IF(OR(P515&lt;0,P515&gt;1),"Invalid",P515))</f>
        <v>0.1</v>
      </c>
      <c r="Z515">
        <f t="shared" ref="Z515:Z578" si="66">IF(ISTEXT(Y515),"",N515*O515*(1-Y515))</f>
        <v>5937.246000000001</v>
      </c>
      <c r="AA515">
        <f t="shared" ref="AA515:AA578" si="67">IF(Z515="","",Z515-R515)</f>
        <v>1848.786000000001</v>
      </c>
      <c r="AB515" s="6">
        <f t="shared" ref="AB515:AB578" si="68">IF(OR(Z515="",Z515=0),"",AA515/Z515)</f>
        <v>0.31138780505304997</v>
      </c>
      <c r="AC515" t="str">
        <f t="shared" ref="AC515:AC578" si="69">IF(ISNUMBER(B515),TEXT(B515,"mmmm"),"")</f>
        <v>June</v>
      </c>
      <c r="AD515">
        <f t="shared" ref="AD515:AD578" si="70">IF(ISNUMBER(B515),YEAR(B515),"")</f>
        <v>2025</v>
      </c>
      <c r="AE515" t="str">
        <f t="shared" ref="AE515:AE578" si="71">IF(OR(B515="Invalid Date",C515="Invalid Date",W515="Invalid Date",W515="Invalid Shipping",Y515="Invalid"),"Invalid",IF(OR(G515="Unknown",M515="Unknown"),"Warning","Clean"))</f>
        <v>Invalid</v>
      </c>
    </row>
    <row r="516" spans="1:31">
      <c r="A516" t="s">
        <v>1640</v>
      </c>
      <c r="B516" s="3">
        <v>45614</v>
      </c>
      <c r="C516" s="3">
        <v>45618</v>
      </c>
      <c r="D516" t="s">
        <v>1641</v>
      </c>
      <c r="E516" t="s">
        <v>23</v>
      </c>
      <c r="F516" t="s">
        <v>95</v>
      </c>
      <c r="G516" t="s">
        <v>54</v>
      </c>
      <c r="H516" t="s">
        <v>185</v>
      </c>
      <c r="I516" t="s">
        <v>186</v>
      </c>
      <c r="J516" t="s">
        <v>74</v>
      </c>
      <c r="K516" t="s">
        <v>75</v>
      </c>
      <c r="L516" t="s">
        <v>1642</v>
      </c>
      <c r="M516" t="s">
        <v>59</v>
      </c>
      <c r="N516">
        <v>6</v>
      </c>
      <c r="O516">
        <v>3872.94</v>
      </c>
      <c r="P516">
        <v>0.1</v>
      </c>
      <c r="Q516">
        <v>20913.88</v>
      </c>
      <c r="R516">
        <v>11684.68</v>
      </c>
      <c r="S516">
        <v>9229.2000000000007</v>
      </c>
      <c r="T516" t="s">
        <v>32</v>
      </c>
      <c r="U516" t="s">
        <v>33</v>
      </c>
      <c r="V516">
        <f>IF(OR(B516="Invalid Date",C516="Invalid Date"),"Invalid Date",C516-B516)</f>
        <v>4</v>
      </c>
      <c r="W516" s="4" t="str">
        <f>IF(OR(B516="Invalid Date",C516="Invalid Date"),"Invalid Date",IF(C516&lt;B516,"Invalid Shipping","OK"))</f>
        <v>OK</v>
      </c>
      <c r="X516">
        <f t="shared" si="64"/>
        <v>1</v>
      </c>
      <c r="Y516">
        <f t="shared" si="65"/>
        <v>0.1</v>
      </c>
      <c r="Z516">
        <f t="shared" si="66"/>
        <v>20913.876</v>
      </c>
      <c r="AA516">
        <f t="shared" si="67"/>
        <v>9229.1959999999999</v>
      </c>
      <c r="AB516" s="6">
        <f t="shared" si="68"/>
        <v>0.44129533903710627</v>
      </c>
      <c r="AC516" t="str">
        <f t="shared" si="69"/>
        <v>November</v>
      </c>
      <c r="AD516">
        <f t="shared" si="70"/>
        <v>2024</v>
      </c>
      <c r="AE516" t="str">
        <f t="shared" si="71"/>
        <v>Clean</v>
      </c>
    </row>
    <row r="517" spans="1:31">
      <c r="A517" t="s">
        <v>1643</v>
      </c>
      <c r="B517" s="3">
        <v>45965</v>
      </c>
      <c r="C517" s="3">
        <v>45758</v>
      </c>
      <c r="D517" t="s">
        <v>1644</v>
      </c>
      <c r="E517" t="s">
        <v>118</v>
      </c>
      <c r="F517" t="s">
        <v>90</v>
      </c>
      <c r="G517" t="s">
        <v>25</v>
      </c>
      <c r="H517" t="s">
        <v>350</v>
      </c>
      <c r="I517" t="s">
        <v>351</v>
      </c>
      <c r="J517" t="s">
        <v>28</v>
      </c>
      <c r="K517" t="s">
        <v>29</v>
      </c>
      <c r="L517" t="s">
        <v>1645</v>
      </c>
      <c r="M517" t="s">
        <v>59</v>
      </c>
      <c r="N517">
        <v>1</v>
      </c>
      <c r="O517">
        <v>4458.49</v>
      </c>
      <c r="P517">
        <v>-7.0000000000000007E-2</v>
      </c>
      <c r="Q517">
        <v>3566.79</v>
      </c>
      <c r="R517">
        <v>2083.41</v>
      </c>
      <c r="S517">
        <v>1483.38</v>
      </c>
      <c r="T517" t="s">
        <v>32</v>
      </c>
      <c r="U517" t="s">
        <v>33</v>
      </c>
      <c r="V517">
        <f>IF(OR(B517="Invalid Date",C517="Invalid Date"),"Invalid Date",C517-B517)</f>
        <v>-207</v>
      </c>
      <c r="W517" s="4" t="str">
        <f>IF(OR(B517="Invalid Date",C517="Invalid Date"),"Invalid Date",IF(C517&lt;B517,"Invalid Shipping","OK"))</f>
        <v>Invalid Shipping</v>
      </c>
      <c r="X517">
        <f t="shared" si="64"/>
        <v>1</v>
      </c>
      <c r="Y517" t="str">
        <f t="shared" si="65"/>
        <v>Invalid</v>
      </c>
      <c r="Z517" t="str">
        <f t="shared" si="66"/>
        <v/>
      </c>
      <c r="AA517" t="str">
        <f t="shared" si="67"/>
        <v/>
      </c>
      <c r="AB517" s="6" t="str">
        <f t="shared" si="68"/>
        <v/>
      </c>
      <c r="AC517" t="str">
        <f t="shared" si="69"/>
        <v>November</v>
      </c>
      <c r="AD517">
        <f t="shared" si="70"/>
        <v>2025</v>
      </c>
      <c r="AE517" t="str">
        <f t="shared" si="71"/>
        <v>Invalid</v>
      </c>
    </row>
    <row r="518" spans="1:31">
      <c r="A518" t="s">
        <v>1646</v>
      </c>
      <c r="B518" s="3" t="s">
        <v>2763</v>
      </c>
      <c r="C518" s="3">
        <v>45569</v>
      </c>
      <c r="D518" t="s">
        <v>1647</v>
      </c>
      <c r="E518" t="s">
        <v>264</v>
      </c>
      <c r="F518" t="s">
        <v>95</v>
      </c>
      <c r="G518" t="s">
        <v>25</v>
      </c>
      <c r="H518" t="s">
        <v>350</v>
      </c>
      <c r="I518" t="s">
        <v>351</v>
      </c>
      <c r="J518" t="s">
        <v>74</v>
      </c>
      <c r="K518" t="s">
        <v>80</v>
      </c>
      <c r="L518" t="s">
        <v>1648</v>
      </c>
      <c r="M518" t="s">
        <v>59</v>
      </c>
      <c r="N518">
        <v>1</v>
      </c>
      <c r="O518">
        <v>2233.1799999999998</v>
      </c>
      <c r="P518">
        <v>0</v>
      </c>
      <c r="Q518">
        <v>2233.1799999999998</v>
      </c>
      <c r="R518">
        <v>1585.82</v>
      </c>
      <c r="S518">
        <v>647.36</v>
      </c>
      <c r="T518" t="s">
        <v>155</v>
      </c>
      <c r="U518" t="s">
        <v>103</v>
      </c>
      <c r="V518" t="str">
        <f>IF(OR(B518="Invalid Date",C518="Invalid Date"),"Invalid Date",C518-B518)</f>
        <v>Invalid Date</v>
      </c>
      <c r="W518" s="4" t="str">
        <f>IF(OR(B518="Invalid Date",C518="Invalid Date"),"Invalid Date",IF(C518&lt;B518,"Invalid Shipping","OK"))</f>
        <v>Invalid Date</v>
      </c>
      <c r="X518">
        <f t="shared" si="64"/>
        <v>1</v>
      </c>
      <c r="Y518">
        <f t="shared" si="65"/>
        <v>0</v>
      </c>
      <c r="Z518">
        <f t="shared" si="66"/>
        <v>2233.1799999999998</v>
      </c>
      <c r="AA518">
        <f t="shared" si="67"/>
        <v>647.3599999999999</v>
      </c>
      <c r="AB518" s="6">
        <f t="shared" si="68"/>
        <v>0.28988258895386843</v>
      </c>
      <c r="AC518" t="str">
        <f t="shared" si="69"/>
        <v/>
      </c>
      <c r="AD518" t="str">
        <f t="shared" si="70"/>
        <v/>
      </c>
      <c r="AE518" t="str">
        <f t="shared" si="71"/>
        <v>Invalid</v>
      </c>
    </row>
    <row r="519" spans="1:31">
      <c r="A519" t="s">
        <v>1649</v>
      </c>
      <c r="B519" s="3">
        <v>45802</v>
      </c>
      <c r="C519" s="3">
        <v>45804</v>
      </c>
      <c r="D519" t="s">
        <v>1650</v>
      </c>
      <c r="E519" t="s">
        <v>118</v>
      </c>
      <c r="F519" t="s">
        <v>24</v>
      </c>
      <c r="G519" t="s">
        <v>38</v>
      </c>
      <c r="H519" t="s">
        <v>39</v>
      </c>
      <c r="I519" t="s">
        <v>40</v>
      </c>
      <c r="J519" t="s">
        <v>41</v>
      </c>
      <c r="K519" t="s">
        <v>57</v>
      </c>
      <c r="L519" t="s">
        <v>1651</v>
      </c>
      <c r="M519" t="s">
        <v>31</v>
      </c>
      <c r="N519">
        <v>7</v>
      </c>
      <c r="O519">
        <v>2123.2800000000002</v>
      </c>
      <c r="P519">
        <v>0.2</v>
      </c>
      <c r="Q519">
        <v>11890.37</v>
      </c>
      <c r="R519">
        <v>9234.5300000000007</v>
      </c>
      <c r="S519">
        <v>2655.84</v>
      </c>
      <c r="T519" t="s">
        <v>102</v>
      </c>
      <c r="U519" t="s">
        <v>103</v>
      </c>
      <c r="V519">
        <f>IF(OR(B519="Invalid Date",C519="Invalid Date"),"Invalid Date",C519-B519)</f>
        <v>2</v>
      </c>
      <c r="W519" s="4" t="str">
        <f>IF(OR(B519="Invalid Date",C519="Invalid Date"),"Invalid Date",IF(C519&lt;B519,"Invalid Shipping","OK"))</f>
        <v>OK</v>
      </c>
      <c r="X519">
        <f t="shared" si="64"/>
        <v>1</v>
      </c>
      <c r="Y519">
        <f t="shared" si="65"/>
        <v>0.2</v>
      </c>
      <c r="Z519">
        <f t="shared" si="66"/>
        <v>11890.368000000002</v>
      </c>
      <c r="AA519">
        <f t="shared" si="67"/>
        <v>2655.8380000000016</v>
      </c>
      <c r="AB519" s="6">
        <f t="shared" si="68"/>
        <v>0.22336045444514427</v>
      </c>
      <c r="AC519" t="str">
        <f t="shared" si="69"/>
        <v>May</v>
      </c>
      <c r="AD519">
        <f t="shared" si="70"/>
        <v>2025</v>
      </c>
      <c r="AE519" t="str">
        <f t="shared" si="71"/>
        <v>Clean</v>
      </c>
    </row>
    <row r="520" spans="1:31">
      <c r="A520" t="s">
        <v>1652</v>
      </c>
      <c r="B520" s="3">
        <v>45777</v>
      </c>
      <c r="C520" s="3">
        <v>45773</v>
      </c>
      <c r="D520" t="s">
        <v>1653</v>
      </c>
      <c r="E520" t="s">
        <v>162</v>
      </c>
      <c r="F520" t="s">
        <v>90</v>
      </c>
      <c r="G520" t="s">
        <v>38</v>
      </c>
      <c r="H520" t="s">
        <v>39</v>
      </c>
      <c r="I520" t="s">
        <v>40</v>
      </c>
      <c r="J520" t="s">
        <v>41</v>
      </c>
      <c r="K520" t="s">
        <v>42</v>
      </c>
      <c r="L520" t="s">
        <v>1654</v>
      </c>
      <c r="M520" t="s">
        <v>50</v>
      </c>
      <c r="N520">
        <v>7</v>
      </c>
      <c r="O520">
        <v>1604.13</v>
      </c>
      <c r="P520">
        <v>0.25</v>
      </c>
      <c r="Q520">
        <v>8421.68</v>
      </c>
      <c r="R520">
        <v>6534.47</v>
      </c>
      <c r="S520">
        <v>1887.21</v>
      </c>
      <c r="T520" t="s">
        <v>32</v>
      </c>
      <c r="U520" t="s">
        <v>68</v>
      </c>
      <c r="V520">
        <f>IF(OR(B520="Invalid Date",C520="Invalid Date"),"Invalid Date",C520-B520)</f>
        <v>-4</v>
      </c>
      <c r="W520" s="4" t="str">
        <f>IF(OR(B520="Invalid Date",C520="Invalid Date"),"Invalid Date",IF(C520&lt;B520,"Invalid Shipping","OK"))</f>
        <v>Invalid Shipping</v>
      </c>
      <c r="X520">
        <f t="shared" si="64"/>
        <v>1</v>
      </c>
      <c r="Y520">
        <f t="shared" si="65"/>
        <v>0.25</v>
      </c>
      <c r="Z520">
        <f t="shared" si="66"/>
        <v>8421.682499999999</v>
      </c>
      <c r="AA520">
        <f t="shared" si="67"/>
        <v>1887.2124999999987</v>
      </c>
      <c r="AB520" s="6">
        <f t="shared" si="68"/>
        <v>0.22408972316398759</v>
      </c>
      <c r="AC520" t="str">
        <f t="shared" si="69"/>
        <v>April</v>
      </c>
      <c r="AD520">
        <f t="shared" si="70"/>
        <v>2025</v>
      </c>
      <c r="AE520" t="str">
        <f t="shared" si="71"/>
        <v>Invalid</v>
      </c>
    </row>
    <row r="521" spans="1:31">
      <c r="A521" t="s">
        <v>1655</v>
      </c>
      <c r="B521" s="3">
        <v>45841</v>
      </c>
      <c r="C521" s="3">
        <v>45845</v>
      </c>
      <c r="D521" t="s">
        <v>1656</v>
      </c>
      <c r="E521" t="s">
        <v>114</v>
      </c>
      <c r="F521" t="s">
        <v>24</v>
      </c>
      <c r="G521" t="s">
        <v>25</v>
      </c>
      <c r="H521" t="s">
        <v>136</v>
      </c>
      <c r="I521" t="s">
        <v>137</v>
      </c>
      <c r="J521" t="s">
        <v>41</v>
      </c>
      <c r="K521" t="s">
        <v>42</v>
      </c>
      <c r="L521" t="s">
        <v>1657</v>
      </c>
      <c r="M521" t="s">
        <v>59</v>
      </c>
      <c r="N521">
        <v>4</v>
      </c>
      <c r="O521">
        <v>4365.21</v>
      </c>
      <c r="P521">
        <v>0.2</v>
      </c>
      <c r="Q521">
        <v>13968.67</v>
      </c>
      <c r="R521">
        <v>8857.58</v>
      </c>
      <c r="S521">
        <v>5111.09</v>
      </c>
      <c r="T521" t="s">
        <v>111</v>
      </c>
      <c r="U521" t="s">
        <v>68</v>
      </c>
      <c r="V521">
        <f>IF(OR(B521="Invalid Date",C521="Invalid Date"),"Invalid Date",C521-B521)</f>
        <v>4</v>
      </c>
      <c r="W521" s="4" t="str">
        <f>IF(OR(B521="Invalid Date",C521="Invalid Date"),"Invalid Date",IF(C521&lt;B521,"Invalid Shipping","OK"))</f>
        <v>OK</v>
      </c>
      <c r="X521">
        <f t="shared" si="64"/>
        <v>1</v>
      </c>
      <c r="Y521">
        <f t="shared" si="65"/>
        <v>0.2</v>
      </c>
      <c r="Z521">
        <f t="shared" si="66"/>
        <v>13968.672</v>
      </c>
      <c r="AA521">
        <f t="shared" si="67"/>
        <v>5111.0920000000006</v>
      </c>
      <c r="AB521" s="6">
        <f t="shared" si="68"/>
        <v>0.36589677243477409</v>
      </c>
      <c r="AC521" t="str">
        <f t="shared" si="69"/>
        <v>July</v>
      </c>
      <c r="AD521">
        <f t="shared" si="70"/>
        <v>2025</v>
      </c>
      <c r="AE521" t="str">
        <f t="shared" si="71"/>
        <v>Clean</v>
      </c>
    </row>
    <row r="522" spans="1:31">
      <c r="A522" t="s">
        <v>1658</v>
      </c>
      <c r="B522" s="3">
        <v>45489</v>
      </c>
      <c r="C522" s="3">
        <v>45496</v>
      </c>
      <c r="D522" t="s">
        <v>1659</v>
      </c>
      <c r="E522" t="s">
        <v>128</v>
      </c>
      <c r="F522" t="s">
        <v>95</v>
      </c>
      <c r="G522" t="s">
        <v>54</v>
      </c>
      <c r="H522" t="s">
        <v>175</v>
      </c>
      <c r="I522" t="s">
        <v>176</v>
      </c>
      <c r="J522" t="s">
        <v>74</v>
      </c>
      <c r="K522" t="s">
        <v>274</v>
      </c>
      <c r="L522" t="s">
        <v>1660</v>
      </c>
      <c r="M522" t="s">
        <v>44</v>
      </c>
      <c r="N522">
        <v>1</v>
      </c>
      <c r="O522">
        <v>1695.91</v>
      </c>
      <c r="P522">
        <v>0.05</v>
      </c>
      <c r="Q522">
        <v>1611.11</v>
      </c>
      <c r="R522">
        <v>895.15</v>
      </c>
      <c r="S522">
        <v>715.96</v>
      </c>
      <c r="T522" t="s">
        <v>32</v>
      </c>
      <c r="U522" t="s">
        <v>33</v>
      </c>
      <c r="V522">
        <f>IF(OR(B522="Invalid Date",C522="Invalid Date"),"Invalid Date",C522-B522)</f>
        <v>7</v>
      </c>
      <c r="W522" s="4" t="str">
        <f>IF(OR(B522="Invalid Date",C522="Invalid Date"),"Invalid Date",IF(C522&lt;B522,"Invalid Shipping","OK"))</f>
        <v>OK</v>
      </c>
      <c r="X522">
        <f t="shared" si="64"/>
        <v>1</v>
      </c>
      <c r="Y522">
        <f t="shared" si="65"/>
        <v>0.05</v>
      </c>
      <c r="Z522">
        <f t="shared" si="66"/>
        <v>1611.1144999999999</v>
      </c>
      <c r="AA522">
        <f t="shared" si="67"/>
        <v>715.96449999999993</v>
      </c>
      <c r="AB522" s="6">
        <f t="shared" si="68"/>
        <v>0.44439082386757739</v>
      </c>
      <c r="AC522" t="str">
        <f t="shared" si="69"/>
        <v>July</v>
      </c>
      <c r="AD522">
        <f t="shared" si="70"/>
        <v>2024</v>
      </c>
      <c r="AE522" t="str">
        <f t="shared" si="71"/>
        <v>Clean</v>
      </c>
    </row>
    <row r="523" spans="1:31">
      <c r="A523" t="s">
        <v>1661</v>
      </c>
      <c r="B523" s="3">
        <v>45741</v>
      </c>
      <c r="C523" s="3">
        <v>45748</v>
      </c>
      <c r="D523" t="s">
        <v>1662</v>
      </c>
      <c r="E523" t="s">
        <v>162</v>
      </c>
      <c r="F523" t="s">
        <v>24</v>
      </c>
      <c r="G523" t="s">
        <v>25</v>
      </c>
      <c r="H523" t="s">
        <v>122</v>
      </c>
      <c r="I523" t="s">
        <v>123</v>
      </c>
      <c r="J523" t="s">
        <v>28</v>
      </c>
      <c r="K523" t="s">
        <v>91</v>
      </c>
      <c r="L523" t="s">
        <v>1663</v>
      </c>
      <c r="M523" t="s">
        <v>31</v>
      </c>
      <c r="N523">
        <v>6</v>
      </c>
      <c r="O523">
        <v>2192.11</v>
      </c>
      <c r="P523">
        <v>0.05</v>
      </c>
      <c r="Q523">
        <v>12495.03</v>
      </c>
      <c r="R523">
        <v>9184.52</v>
      </c>
      <c r="S523">
        <v>3310.51</v>
      </c>
      <c r="T523" t="s">
        <v>32</v>
      </c>
      <c r="U523" t="s">
        <v>33</v>
      </c>
      <c r="V523">
        <f>IF(OR(B523="Invalid Date",C523="Invalid Date"),"Invalid Date",C523-B523)</f>
        <v>7</v>
      </c>
      <c r="W523" s="4" t="str">
        <f>IF(OR(B523="Invalid Date",C523="Invalid Date"),"Invalid Date",IF(C523&lt;B523,"Invalid Shipping","OK"))</f>
        <v>OK</v>
      </c>
      <c r="X523">
        <f t="shared" si="64"/>
        <v>1</v>
      </c>
      <c r="Y523">
        <f t="shared" si="65"/>
        <v>0.05</v>
      </c>
      <c r="Z523">
        <f t="shared" si="66"/>
        <v>12495.027</v>
      </c>
      <c r="AA523">
        <f t="shared" si="67"/>
        <v>3310.5069999999996</v>
      </c>
      <c r="AB523" s="6">
        <f t="shared" si="68"/>
        <v>0.26494596610315446</v>
      </c>
      <c r="AC523" t="str">
        <f t="shared" si="69"/>
        <v>March</v>
      </c>
      <c r="AD523">
        <f t="shared" si="70"/>
        <v>2025</v>
      </c>
      <c r="AE523" t="str">
        <f t="shared" si="71"/>
        <v>Clean</v>
      </c>
    </row>
    <row r="524" spans="1:31">
      <c r="A524" t="s">
        <v>1664</v>
      </c>
      <c r="B524" s="3" t="s">
        <v>2763</v>
      </c>
      <c r="C524" s="3">
        <v>45724</v>
      </c>
      <c r="D524" t="s">
        <v>1665</v>
      </c>
      <c r="E524" t="s">
        <v>79</v>
      </c>
      <c r="F524" t="s">
        <v>37</v>
      </c>
      <c r="G524" t="s">
        <v>38</v>
      </c>
      <c r="H524" t="s">
        <v>228</v>
      </c>
      <c r="I524" t="s">
        <v>229</v>
      </c>
      <c r="J524" t="s">
        <v>74</v>
      </c>
      <c r="K524" t="s">
        <v>171</v>
      </c>
      <c r="L524" t="s">
        <v>1666</v>
      </c>
      <c r="M524" t="s">
        <v>50</v>
      </c>
      <c r="N524">
        <v>9</v>
      </c>
      <c r="O524">
        <v>3670.54</v>
      </c>
      <c r="P524">
        <v>0</v>
      </c>
      <c r="Q524">
        <v>33034.86</v>
      </c>
      <c r="R524">
        <v>24539.83</v>
      </c>
      <c r="S524">
        <v>8495.0300000000007</v>
      </c>
      <c r="T524" t="s">
        <v>32</v>
      </c>
      <c r="U524" t="s">
        <v>33</v>
      </c>
      <c r="V524" t="str">
        <f>IF(OR(B524="Invalid Date",C524="Invalid Date"),"Invalid Date",C524-B524)</f>
        <v>Invalid Date</v>
      </c>
      <c r="W524" s="4" t="str">
        <f>IF(OR(B524="Invalid Date",C524="Invalid Date"),"Invalid Date",IF(C524&lt;B524,"Invalid Shipping","OK"))</f>
        <v>Invalid Date</v>
      </c>
      <c r="X524">
        <f t="shared" si="64"/>
        <v>1</v>
      </c>
      <c r="Y524">
        <f t="shared" si="65"/>
        <v>0</v>
      </c>
      <c r="Z524">
        <f t="shared" si="66"/>
        <v>33034.86</v>
      </c>
      <c r="AA524">
        <f t="shared" si="67"/>
        <v>8495.0299999999988</v>
      </c>
      <c r="AB524" s="6">
        <f t="shared" si="68"/>
        <v>0.25715350390466307</v>
      </c>
      <c r="AC524" t="str">
        <f t="shared" si="69"/>
        <v/>
      </c>
      <c r="AD524" t="str">
        <f t="shared" si="70"/>
        <v/>
      </c>
      <c r="AE524" t="str">
        <f t="shared" si="71"/>
        <v>Invalid</v>
      </c>
    </row>
    <row r="525" spans="1:31">
      <c r="A525" t="s">
        <v>1667</v>
      </c>
      <c r="B525" s="3">
        <v>45384</v>
      </c>
      <c r="C525" s="3">
        <v>45385</v>
      </c>
      <c r="D525" t="s">
        <v>1668</v>
      </c>
      <c r="E525" t="s">
        <v>264</v>
      </c>
      <c r="F525" t="s">
        <v>95</v>
      </c>
      <c r="G525" t="s">
        <v>63</v>
      </c>
      <c r="H525" t="s">
        <v>190</v>
      </c>
      <c r="I525" t="s">
        <v>191</v>
      </c>
      <c r="J525" t="s">
        <v>28</v>
      </c>
      <c r="K525" t="s">
        <v>29</v>
      </c>
      <c r="L525" t="s">
        <v>1669</v>
      </c>
      <c r="M525" t="s">
        <v>31</v>
      </c>
      <c r="N525">
        <v>2</v>
      </c>
      <c r="O525">
        <v>2902.63</v>
      </c>
      <c r="P525">
        <v>0</v>
      </c>
      <c r="Q525">
        <v>5805.26</v>
      </c>
      <c r="R525">
        <v>4654.3599999999997</v>
      </c>
      <c r="S525">
        <v>1150.9000000000001</v>
      </c>
      <c r="T525" t="s">
        <v>32</v>
      </c>
      <c r="U525" t="s">
        <v>103</v>
      </c>
      <c r="V525">
        <f>IF(OR(B525="Invalid Date",C525="Invalid Date"),"Invalid Date",C525-B525)</f>
        <v>1</v>
      </c>
      <c r="W525" s="4" t="str">
        <f>IF(OR(B525="Invalid Date",C525="Invalid Date"),"Invalid Date",IF(C525&lt;B525,"Invalid Shipping","OK"))</f>
        <v>OK</v>
      </c>
      <c r="X525">
        <f t="shared" si="64"/>
        <v>1</v>
      </c>
      <c r="Y525">
        <f t="shared" si="65"/>
        <v>0</v>
      </c>
      <c r="Z525">
        <f t="shared" si="66"/>
        <v>5805.26</v>
      </c>
      <c r="AA525">
        <f t="shared" si="67"/>
        <v>1150.9000000000005</v>
      </c>
      <c r="AB525" s="6">
        <f t="shared" si="68"/>
        <v>0.19825124111581574</v>
      </c>
      <c r="AC525" t="str">
        <f t="shared" si="69"/>
        <v>April</v>
      </c>
      <c r="AD525">
        <f t="shared" si="70"/>
        <v>2024</v>
      </c>
      <c r="AE525" t="str">
        <f t="shared" si="71"/>
        <v>Clean</v>
      </c>
    </row>
    <row r="526" spans="1:31">
      <c r="A526" t="s">
        <v>1670</v>
      </c>
      <c r="B526" s="3">
        <v>45626</v>
      </c>
      <c r="C526" s="3">
        <v>45627</v>
      </c>
      <c r="D526" t="s">
        <v>1671</v>
      </c>
      <c r="E526" t="s">
        <v>62</v>
      </c>
      <c r="F526" t="s">
        <v>90</v>
      </c>
      <c r="G526" t="s">
        <v>63</v>
      </c>
      <c r="H526" t="s">
        <v>180</v>
      </c>
      <c r="I526" t="s">
        <v>181</v>
      </c>
      <c r="J526" t="s">
        <v>41</v>
      </c>
      <c r="K526" t="s">
        <v>66</v>
      </c>
      <c r="L526" t="s">
        <v>1672</v>
      </c>
      <c r="M526" t="s">
        <v>50</v>
      </c>
      <c r="N526">
        <v>9</v>
      </c>
      <c r="O526">
        <v>4207.3599999999997</v>
      </c>
      <c r="P526">
        <v>0.1</v>
      </c>
      <c r="Q526">
        <v>34079.620000000003</v>
      </c>
      <c r="R526">
        <v>21871.39</v>
      </c>
      <c r="S526">
        <v>12208.23</v>
      </c>
      <c r="T526" t="s">
        <v>32</v>
      </c>
      <c r="U526" t="s">
        <v>33</v>
      </c>
      <c r="V526">
        <f>IF(OR(B526="Invalid Date",C526="Invalid Date"),"Invalid Date",C526-B526)</f>
        <v>1</v>
      </c>
      <c r="W526" s="4" t="str">
        <f>IF(OR(B526="Invalid Date",C526="Invalid Date"),"Invalid Date",IF(C526&lt;B526,"Invalid Shipping","OK"))</f>
        <v>OK</v>
      </c>
      <c r="X526">
        <f t="shared" si="64"/>
        <v>1</v>
      </c>
      <c r="Y526">
        <f t="shared" si="65"/>
        <v>0.1</v>
      </c>
      <c r="Z526">
        <f t="shared" si="66"/>
        <v>34079.616000000002</v>
      </c>
      <c r="AA526">
        <f t="shared" si="67"/>
        <v>12208.226000000002</v>
      </c>
      <c r="AB526" s="6">
        <f t="shared" si="68"/>
        <v>0.35822663025311091</v>
      </c>
      <c r="AC526" t="str">
        <f t="shared" si="69"/>
        <v>November</v>
      </c>
      <c r="AD526">
        <f t="shared" si="70"/>
        <v>2024</v>
      </c>
      <c r="AE526" t="str">
        <f t="shared" si="71"/>
        <v>Clean</v>
      </c>
    </row>
    <row r="527" spans="1:31">
      <c r="A527" t="s">
        <v>1673</v>
      </c>
      <c r="B527" s="3" t="s">
        <v>2763</v>
      </c>
      <c r="C527" s="3">
        <v>45582</v>
      </c>
      <c r="D527" t="s">
        <v>1674</v>
      </c>
      <c r="E527" t="s">
        <v>114</v>
      </c>
      <c r="F527" t="s">
        <v>95</v>
      </c>
      <c r="G527" t="s">
        <v>38</v>
      </c>
      <c r="H527" t="s">
        <v>99</v>
      </c>
      <c r="I527" t="s">
        <v>100</v>
      </c>
      <c r="J527" t="s">
        <v>41</v>
      </c>
      <c r="K527" t="s">
        <v>66</v>
      </c>
      <c r="L527" t="s">
        <v>1675</v>
      </c>
      <c r="M527" t="s">
        <v>59</v>
      </c>
      <c r="N527">
        <v>5</v>
      </c>
      <c r="O527">
        <v>2524.4</v>
      </c>
      <c r="P527">
        <v>0.1</v>
      </c>
      <c r="Q527">
        <v>11359.8</v>
      </c>
      <c r="R527">
        <v>7062.44</v>
      </c>
      <c r="S527">
        <v>4297.3599999999997</v>
      </c>
      <c r="T527" t="s">
        <v>32</v>
      </c>
      <c r="U527" t="s">
        <v>33</v>
      </c>
      <c r="V527" t="str">
        <f>IF(OR(B527="Invalid Date",C527="Invalid Date"),"Invalid Date",C527-B527)</f>
        <v>Invalid Date</v>
      </c>
      <c r="W527" s="4" t="str">
        <f>IF(OR(B527="Invalid Date",C527="Invalid Date"),"Invalid Date",IF(C527&lt;B527,"Invalid Shipping","OK"))</f>
        <v>Invalid Date</v>
      </c>
      <c r="X527">
        <f t="shared" si="64"/>
        <v>1</v>
      </c>
      <c r="Y527">
        <f t="shared" si="65"/>
        <v>0.1</v>
      </c>
      <c r="Z527">
        <f t="shared" si="66"/>
        <v>11359.800000000001</v>
      </c>
      <c r="AA527">
        <f t="shared" si="67"/>
        <v>4297.3600000000015</v>
      </c>
      <c r="AB527" s="6">
        <f t="shared" si="68"/>
        <v>0.37829539252451638</v>
      </c>
      <c r="AC527" t="str">
        <f t="shared" si="69"/>
        <v/>
      </c>
      <c r="AD527" t="str">
        <f t="shared" si="70"/>
        <v/>
      </c>
      <c r="AE527" t="str">
        <f t="shared" si="71"/>
        <v>Invalid</v>
      </c>
    </row>
    <row r="528" spans="1:31">
      <c r="A528" t="s">
        <v>1676</v>
      </c>
      <c r="B528" s="3">
        <v>45856</v>
      </c>
      <c r="C528" s="3">
        <v>45859</v>
      </c>
      <c r="D528" t="s">
        <v>1677</v>
      </c>
      <c r="E528" t="s">
        <v>114</v>
      </c>
      <c r="F528" t="s">
        <v>24</v>
      </c>
      <c r="G528" t="s">
        <v>38</v>
      </c>
      <c r="H528" t="s">
        <v>39</v>
      </c>
      <c r="I528" t="s">
        <v>40</v>
      </c>
      <c r="J528" t="s">
        <v>41</v>
      </c>
      <c r="K528" t="s">
        <v>42</v>
      </c>
      <c r="L528" t="s">
        <v>1678</v>
      </c>
      <c r="M528" t="s">
        <v>31</v>
      </c>
      <c r="N528">
        <v>4</v>
      </c>
      <c r="O528">
        <v>284.04000000000002</v>
      </c>
      <c r="P528">
        <v>0</v>
      </c>
      <c r="Q528">
        <v>908.93</v>
      </c>
      <c r="R528">
        <v>572.08000000000004</v>
      </c>
      <c r="S528">
        <v>336.85</v>
      </c>
      <c r="T528" t="s">
        <v>32</v>
      </c>
      <c r="U528" t="s">
        <v>33</v>
      </c>
      <c r="V528">
        <f>IF(OR(B528="Invalid Date",C528="Invalid Date"),"Invalid Date",C528-B528)</f>
        <v>3</v>
      </c>
      <c r="W528" s="4" t="str">
        <f>IF(OR(B528="Invalid Date",C528="Invalid Date"),"Invalid Date",IF(C528&lt;B528,"Invalid Shipping","OK"))</f>
        <v>OK</v>
      </c>
      <c r="X528">
        <f t="shared" si="64"/>
        <v>1</v>
      </c>
      <c r="Y528">
        <f t="shared" si="65"/>
        <v>0</v>
      </c>
      <c r="Z528">
        <f t="shared" si="66"/>
        <v>1136.1600000000001</v>
      </c>
      <c r="AA528">
        <f t="shared" si="67"/>
        <v>564.08000000000004</v>
      </c>
      <c r="AB528" s="6">
        <f t="shared" si="68"/>
        <v>0.49647936910294327</v>
      </c>
      <c r="AC528" t="str">
        <f t="shared" si="69"/>
        <v>July</v>
      </c>
      <c r="AD528">
        <f t="shared" si="70"/>
        <v>2025</v>
      </c>
      <c r="AE528" t="str">
        <f t="shared" si="71"/>
        <v>Clean</v>
      </c>
    </row>
    <row r="529" spans="1:31">
      <c r="A529" t="s">
        <v>1679</v>
      </c>
      <c r="B529" s="3">
        <v>45931</v>
      </c>
      <c r="C529" s="3">
        <v>45935</v>
      </c>
      <c r="D529" t="s">
        <v>1680</v>
      </c>
      <c r="E529" t="s">
        <v>89</v>
      </c>
      <c r="F529" t="s">
        <v>95</v>
      </c>
      <c r="G529" t="s">
        <v>25</v>
      </c>
      <c r="H529" t="s">
        <v>236</v>
      </c>
      <c r="I529" t="s">
        <v>237</v>
      </c>
      <c r="J529" t="s">
        <v>28</v>
      </c>
      <c r="K529" t="s">
        <v>29</v>
      </c>
      <c r="L529" t="s">
        <v>1681</v>
      </c>
      <c r="M529" t="s">
        <v>50</v>
      </c>
      <c r="N529">
        <v>5</v>
      </c>
      <c r="O529">
        <v>3247.56</v>
      </c>
      <c r="P529">
        <v>0.15</v>
      </c>
      <c r="Q529">
        <v>13802.13</v>
      </c>
      <c r="R529">
        <v>10075.93</v>
      </c>
      <c r="S529">
        <v>3726.2</v>
      </c>
      <c r="T529" t="s">
        <v>32</v>
      </c>
      <c r="U529" t="s">
        <v>33</v>
      </c>
      <c r="V529">
        <f>IF(OR(B529="Invalid Date",C529="Invalid Date"),"Invalid Date",C529-B529)</f>
        <v>4</v>
      </c>
      <c r="W529" s="4" t="str">
        <f>IF(OR(B529="Invalid Date",C529="Invalid Date"),"Invalid Date",IF(C529&lt;B529,"Invalid Shipping","OK"))</f>
        <v>OK</v>
      </c>
      <c r="X529">
        <f t="shared" si="64"/>
        <v>1</v>
      </c>
      <c r="Y529">
        <f t="shared" si="65"/>
        <v>0.15</v>
      </c>
      <c r="Z529">
        <f t="shared" si="66"/>
        <v>13802.13</v>
      </c>
      <c r="AA529">
        <f t="shared" si="67"/>
        <v>3726.1999999999989</v>
      </c>
      <c r="AB529" s="6">
        <f t="shared" si="68"/>
        <v>0.26997282303528508</v>
      </c>
      <c r="AC529" t="str">
        <f t="shared" si="69"/>
        <v>October</v>
      </c>
      <c r="AD529">
        <f t="shared" si="70"/>
        <v>2025</v>
      </c>
      <c r="AE529" t="str">
        <f t="shared" si="71"/>
        <v>Clean</v>
      </c>
    </row>
    <row r="530" spans="1:31">
      <c r="A530" t="s">
        <v>1682</v>
      </c>
      <c r="B530" s="3">
        <v>45572</v>
      </c>
      <c r="C530" s="3">
        <v>45574</v>
      </c>
      <c r="D530" t="s">
        <v>1683</v>
      </c>
      <c r="E530" t="s">
        <v>162</v>
      </c>
      <c r="F530" t="s">
        <v>24</v>
      </c>
      <c r="G530" t="s">
        <v>54</v>
      </c>
      <c r="H530" t="s">
        <v>247</v>
      </c>
      <c r="I530" t="s">
        <v>248</v>
      </c>
      <c r="J530" t="s">
        <v>28</v>
      </c>
      <c r="K530" t="s">
        <v>153</v>
      </c>
      <c r="L530" t="s">
        <v>1684</v>
      </c>
      <c r="M530" t="s">
        <v>59</v>
      </c>
      <c r="N530">
        <v>9</v>
      </c>
      <c r="O530">
        <v>3457.09</v>
      </c>
      <c r="P530">
        <v>0.05</v>
      </c>
      <c r="Q530">
        <v>29558.12</v>
      </c>
      <c r="R530">
        <v>21302.13</v>
      </c>
      <c r="S530">
        <v>8255.99</v>
      </c>
      <c r="T530" t="s">
        <v>111</v>
      </c>
      <c r="U530" t="s">
        <v>103</v>
      </c>
      <c r="V530">
        <f>IF(OR(B530="Invalid Date",C530="Invalid Date"),"Invalid Date",C530-B530)</f>
        <v>2</v>
      </c>
      <c r="W530" s="4" t="str">
        <f>IF(OR(B530="Invalid Date",C530="Invalid Date"),"Invalid Date",IF(C530&lt;B530,"Invalid Shipping","OK"))</f>
        <v>OK</v>
      </c>
      <c r="X530">
        <f t="shared" si="64"/>
        <v>1</v>
      </c>
      <c r="Y530">
        <f t="shared" si="65"/>
        <v>0.05</v>
      </c>
      <c r="Z530">
        <f t="shared" si="66"/>
        <v>29558.119500000001</v>
      </c>
      <c r="AA530">
        <f t="shared" si="67"/>
        <v>8255.9894999999997</v>
      </c>
      <c r="AB530" s="6">
        <f t="shared" si="68"/>
        <v>0.27931376013281223</v>
      </c>
      <c r="AC530" t="str">
        <f t="shared" si="69"/>
        <v>October</v>
      </c>
      <c r="AD530">
        <f t="shared" si="70"/>
        <v>2024</v>
      </c>
      <c r="AE530" t="str">
        <f t="shared" si="71"/>
        <v>Clean</v>
      </c>
    </row>
    <row r="531" spans="1:31">
      <c r="A531" t="s">
        <v>1685</v>
      </c>
      <c r="B531" s="3">
        <v>45328</v>
      </c>
      <c r="C531" s="3">
        <v>45330</v>
      </c>
      <c r="D531" t="s">
        <v>729</v>
      </c>
      <c r="E531" t="s">
        <v>23</v>
      </c>
      <c r="F531" t="s">
        <v>24</v>
      </c>
      <c r="G531" t="s">
        <v>38</v>
      </c>
      <c r="H531" t="s">
        <v>228</v>
      </c>
      <c r="I531" t="s">
        <v>229</v>
      </c>
      <c r="J531" t="s">
        <v>41</v>
      </c>
      <c r="K531" t="s">
        <v>158</v>
      </c>
      <c r="L531" t="s">
        <v>1686</v>
      </c>
      <c r="M531" t="s">
        <v>31</v>
      </c>
      <c r="N531">
        <v>9</v>
      </c>
      <c r="O531">
        <v>1822.25</v>
      </c>
      <c r="P531">
        <v>0</v>
      </c>
      <c r="Q531">
        <v>16400.25</v>
      </c>
      <c r="R531">
        <v>12146.96</v>
      </c>
      <c r="S531">
        <v>4253.29</v>
      </c>
      <c r="T531" t="s">
        <v>32</v>
      </c>
      <c r="U531" t="s">
        <v>33</v>
      </c>
      <c r="V531">
        <f>IF(OR(B531="Invalid Date",C531="Invalid Date"),"Invalid Date",C531-B531)</f>
        <v>2</v>
      </c>
      <c r="W531" s="4" t="str">
        <f>IF(OR(B531="Invalid Date",C531="Invalid Date"),"Invalid Date",IF(C531&lt;B531,"Invalid Shipping","OK"))</f>
        <v>OK</v>
      </c>
      <c r="X531">
        <f t="shared" si="64"/>
        <v>1</v>
      </c>
      <c r="Y531">
        <f t="shared" si="65"/>
        <v>0</v>
      </c>
      <c r="Z531">
        <f t="shared" si="66"/>
        <v>16400.25</v>
      </c>
      <c r="AA531">
        <f t="shared" si="67"/>
        <v>4253.2900000000009</v>
      </c>
      <c r="AB531" s="6">
        <f t="shared" si="68"/>
        <v>0.25934299782015524</v>
      </c>
      <c r="AC531" t="str">
        <f t="shared" si="69"/>
        <v>February</v>
      </c>
      <c r="AD531">
        <f t="shared" si="70"/>
        <v>2024</v>
      </c>
      <c r="AE531" t="str">
        <f t="shared" si="71"/>
        <v>Clean</v>
      </c>
    </row>
    <row r="532" spans="1:31">
      <c r="A532" t="s">
        <v>1687</v>
      </c>
      <c r="B532" s="3" t="s">
        <v>2763</v>
      </c>
      <c r="C532" s="3">
        <v>45809</v>
      </c>
      <c r="D532" t="s">
        <v>1688</v>
      </c>
      <c r="E532" t="s">
        <v>118</v>
      </c>
      <c r="F532" t="s">
        <v>95</v>
      </c>
      <c r="G532" t="s">
        <v>54</v>
      </c>
      <c r="H532" t="s">
        <v>247</v>
      </c>
      <c r="I532" t="s">
        <v>248</v>
      </c>
      <c r="J532" t="s">
        <v>28</v>
      </c>
      <c r="K532" t="s">
        <v>153</v>
      </c>
      <c r="L532" t="s">
        <v>1689</v>
      </c>
      <c r="M532" t="s">
        <v>59</v>
      </c>
      <c r="N532">
        <v>9</v>
      </c>
      <c r="O532">
        <v>1994.51</v>
      </c>
      <c r="P532">
        <v>0.05</v>
      </c>
      <c r="Q532">
        <v>17053.060000000001</v>
      </c>
      <c r="R532">
        <v>10742.38</v>
      </c>
      <c r="S532">
        <v>6310.68</v>
      </c>
      <c r="T532" t="s">
        <v>32</v>
      </c>
      <c r="U532" t="s">
        <v>33</v>
      </c>
      <c r="V532" t="str">
        <f>IF(OR(B532="Invalid Date",C532="Invalid Date"),"Invalid Date",C532-B532)</f>
        <v>Invalid Date</v>
      </c>
      <c r="W532" s="4" t="str">
        <f>IF(OR(B532="Invalid Date",C532="Invalid Date"),"Invalid Date",IF(C532&lt;B532,"Invalid Shipping","OK"))</f>
        <v>Invalid Date</v>
      </c>
      <c r="X532">
        <f t="shared" si="64"/>
        <v>1</v>
      </c>
      <c r="Y532">
        <f t="shared" si="65"/>
        <v>0.05</v>
      </c>
      <c r="Z532">
        <f t="shared" si="66"/>
        <v>17053.0605</v>
      </c>
      <c r="AA532">
        <f t="shared" si="67"/>
        <v>6310.6805000000004</v>
      </c>
      <c r="AB532" s="6">
        <f t="shared" si="68"/>
        <v>0.37006146198801093</v>
      </c>
      <c r="AC532" t="str">
        <f t="shared" si="69"/>
        <v/>
      </c>
      <c r="AD532" t="str">
        <f t="shared" si="70"/>
        <v/>
      </c>
      <c r="AE532" t="str">
        <f t="shared" si="71"/>
        <v>Invalid</v>
      </c>
    </row>
    <row r="533" spans="1:31">
      <c r="A533" t="s">
        <v>1690</v>
      </c>
      <c r="B533" s="3">
        <v>45505</v>
      </c>
      <c r="C533" s="3">
        <v>45512</v>
      </c>
      <c r="D533" t="s">
        <v>1691</v>
      </c>
      <c r="E533" t="s">
        <v>162</v>
      </c>
      <c r="F533" t="s">
        <v>37</v>
      </c>
      <c r="G533" t="s">
        <v>63</v>
      </c>
      <c r="H533" t="s">
        <v>64</v>
      </c>
      <c r="I533" t="s">
        <v>65</v>
      </c>
      <c r="J533" t="s">
        <v>28</v>
      </c>
      <c r="K533" t="s">
        <v>124</v>
      </c>
      <c r="L533" t="s">
        <v>1692</v>
      </c>
      <c r="M533" t="s">
        <v>2767</v>
      </c>
      <c r="N533">
        <v>1</v>
      </c>
      <c r="O533">
        <v>442.97</v>
      </c>
      <c r="P533">
        <v>0.1</v>
      </c>
      <c r="Q533">
        <v>398.67</v>
      </c>
      <c r="R533">
        <v>311.66000000000003</v>
      </c>
      <c r="S533">
        <v>87.01</v>
      </c>
      <c r="T533" t="s">
        <v>32</v>
      </c>
      <c r="U533" t="s">
        <v>33</v>
      </c>
      <c r="V533">
        <f>IF(OR(B533="Invalid Date",C533="Invalid Date"),"Invalid Date",C533-B533)</f>
        <v>7</v>
      </c>
      <c r="W533" s="4" t="str">
        <f>IF(OR(B533="Invalid Date",C533="Invalid Date"),"Invalid Date",IF(C533&lt;B533,"Invalid Shipping","OK"))</f>
        <v>OK</v>
      </c>
      <c r="X533">
        <f t="shared" si="64"/>
        <v>1</v>
      </c>
      <c r="Y533">
        <f t="shared" si="65"/>
        <v>0.1</v>
      </c>
      <c r="Z533">
        <f t="shared" si="66"/>
        <v>398.67300000000006</v>
      </c>
      <c r="AA533">
        <f t="shared" si="67"/>
        <v>87.013000000000034</v>
      </c>
      <c r="AB533" s="6">
        <f t="shared" si="68"/>
        <v>0.21825656615822997</v>
      </c>
      <c r="AC533" t="str">
        <f t="shared" si="69"/>
        <v>August</v>
      </c>
      <c r="AD533">
        <f t="shared" si="70"/>
        <v>2024</v>
      </c>
      <c r="AE533" t="str">
        <f t="shared" si="71"/>
        <v>Warning</v>
      </c>
    </row>
    <row r="534" spans="1:31">
      <c r="A534" t="s">
        <v>1693</v>
      </c>
      <c r="B534" s="3">
        <v>45935</v>
      </c>
      <c r="C534" s="3">
        <v>45940</v>
      </c>
      <c r="D534" t="s">
        <v>1694</v>
      </c>
      <c r="E534" t="s">
        <v>114</v>
      </c>
      <c r="F534" t="s">
        <v>90</v>
      </c>
      <c r="G534" t="s">
        <v>38</v>
      </c>
      <c r="H534" t="s">
        <v>166</v>
      </c>
      <c r="I534" t="s">
        <v>167</v>
      </c>
      <c r="J534" t="s">
        <v>41</v>
      </c>
      <c r="K534" t="s">
        <v>42</v>
      </c>
      <c r="L534" t="s">
        <v>1695</v>
      </c>
      <c r="M534" t="s">
        <v>31</v>
      </c>
      <c r="N534">
        <v>9</v>
      </c>
      <c r="O534">
        <v>2089.14</v>
      </c>
      <c r="P534">
        <v>0.05</v>
      </c>
      <c r="Q534">
        <v>17862.150000000001</v>
      </c>
      <c r="R534">
        <v>9892.2099999999991</v>
      </c>
      <c r="S534">
        <v>7969.94</v>
      </c>
      <c r="T534" t="s">
        <v>155</v>
      </c>
      <c r="U534" t="s">
        <v>68</v>
      </c>
      <c r="V534">
        <f>IF(OR(B534="Invalid Date",C534="Invalid Date"),"Invalid Date",C534-B534)</f>
        <v>5</v>
      </c>
      <c r="W534" s="4" t="str">
        <f>IF(OR(B534="Invalid Date",C534="Invalid Date"),"Invalid Date",IF(C534&lt;B534,"Invalid Shipping","OK"))</f>
        <v>OK</v>
      </c>
      <c r="X534">
        <f t="shared" si="64"/>
        <v>1</v>
      </c>
      <c r="Y534">
        <f t="shared" si="65"/>
        <v>0.05</v>
      </c>
      <c r="Z534">
        <f t="shared" si="66"/>
        <v>17862.146999999997</v>
      </c>
      <c r="AA534">
        <f t="shared" si="67"/>
        <v>7969.9369999999981</v>
      </c>
      <c r="AB534" s="6">
        <f t="shared" si="68"/>
        <v>0.44619143488182017</v>
      </c>
      <c r="AC534" t="str">
        <f t="shared" si="69"/>
        <v>October</v>
      </c>
      <c r="AD534">
        <f t="shared" si="70"/>
        <v>2025</v>
      </c>
      <c r="AE534" t="str">
        <f t="shared" si="71"/>
        <v>Clean</v>
      </c>
    </row>
    <row r="535" spans="1:31">
      <c r="A535" t="s">
        <v>1696</v>
      </c>
      <c r="B535" s="3">
        <v>45529</v>
      </c>
      <c r="C535" s="3">
        <v>45536</v>
      </c>
      <c r="D535" t="s">
        <v>1697</v>
      </c>
      <c r="E535" t="s">
        <v>47</v>
      </c>
      <c r="F535" t="s">
        <v>95</v>
      </c>
      <c r="G535" t="s">
        <v>25</v>
      </c>
      <c r="H535" t="s">
        <v>26</v>
      </c>
      <c r="I535" t="s">
        <v>27</v>
      </c>
      <c r="J535" t="s">
        <v>41</v>
      </c>
      <c r="K535" t="s">
        <v>42</v>
      </c>
      <c r="L535" t="s">
        <v>1698</v>
      </c>
      <c r="M535" t="s">
        <v>44</v>
      </c>
      <c r="N535">
        <v>6</v>
      </c>
      <c r="O535">
        <v>481.3</v>
      </c>
      <c r="P535">
        <v>0.25</v>
      </c>
      <c r="Q535">
        <v>2165.85</v>
      </c>
      <c r="R535">
        <v>2124.48</v>
      </c>
      <c r="S535">
        <v>430.45</v>
      </c>
      <c r="T535" t="s">
        <v>32</v>
      </c>
      <c r="U535" t="s">
        <v>33</v>
      </c>
      <c r="V535">
        <f>IF(OR(B535="Invalid Date",C535="Invalid Date"),"Invalid Date",C535-B535)</f>
        <v>7</v>
      </c>
      <c r="W535" s="4" t="str">
        <f>IF(OR(B535="Invalid Date",C535="Invalid Date"),"Invalid Date",IF(C535&lt;B535,"Invalid Shipping","OK"))</f>
        <v>OK</v>
      </c>
      <c r="X535">
        <f t="shared" si="64"/>
        <v>1</v>
      </c>
      <c r="Y535">
        <f t="shared" si="65"/>
        <v>0.25</v>
      </c>
      <c r="Z535">
        <f t="shared" si="66"/>
        <v>2165.8500000000004</v>
      </c>
      <c r="AA535">
        <f t="shared" si="67"/>
        <v>41.370000000000346</v>
      </c>
      <c r="AB535" s="6">
        <f t="shared" si="68"/>
        <v>1.91010457787937E-2</v>
      </c>
      <c r="AC535" t="str">
        <f t="shared" si="69"/>
        <v>August</v>
      </c>
      <c r="AD535">
        <f t="shared" si="70"/>
        <v>2024</v>
      </c>
      <c r="AE535" t="str">
        <f t="shared" si="71"/>
        <v>Clean</v>
      </c>
    </row>
    <row r="536" spans="1:31">
      <c r="A536" t="s">
        <v>1699</v>
      </c>
      <c r="B536" s="3" t="s">
        <v>2763</v>
      </c>
      <c r="C536" s="3">
        <v>45782</v>
      </c>
      <c r="D536" t="s">
        <v>1700</v>
      </c>
      <c r="E536" t="s">
        <v>141</v>
      </c>
      <c r="F536" t="s">
        <v>95</v>
      </c>
      <c r="G536" t="s">
        <v>38</v>
      </c>
      <c r="H536" t="s">
        <v>145</v>
      </c>
      <c r="I536" t="s">
        <v>146</v>
      </c>
      <c r="J536" t="s">
        <v>74</v>
      </c>
      <c r="K536" t="s">
        <v>75</v>
      </c>
      <c r="L536" t="s">
        <v>1701</v>
      </c>
      <c r="M536" t="s">
        <v>31</v>
      </c>
      <c r="N536">
        <v>4</v>
      </c>
      <c r="O536">
        <v>3963.39</v>
      </c>
      <c r="P536">
        <v>0.1</v>
      </c>
      <c r="Q536">
        <v>14268.2</v>
      </c>
      <c r="R536">
        <v>11705.3</v>
      </c>
      <c r="S536">
        <v>2562.9</v>
      </c>
      <c r="T536" t="s">
        <v>111</v>
      </c>
      <c r="U536" t="s">
        <v>103</v>
      </c>
      <c r="V536" t="str">
        <f>IF(OR(B536="Invalid Date",C536="Invalid Date"),"Invalid Date",C536-B536)</f>
        <v>Invalid Date</v>
      </c>
      <c r="W536" s="4" t="str">
        <f>IF(OR(B536="Invalid Date",C536="Invalid Date"),"Invalid Date",IF(C536&lt;B536,"Invalid Shipping","OK"))</f>
        <v>Invalid Date</v>
      </c>
      <c r="X536">
        <f t="shared" si="64"/>
        <v>1</v>
      </c>
      <c r="Y536">
        <f t="shared" si="65"/>
        <v>0.1</v>
      </c>
      <c r="Z536">
        <f t="shared" si="66"/>
        <v>14268.204</v>
      </c>
      <c r="AA536">
        <f t="shared" si="67"/>
        <v>2562.9040000000005</v>
      </c>
      <c r="AB536" s="6">
        <f t="shared" si="68"/>
        <v>0.17962344805274724</v>
      </c>
      <c r="AC536" t="str">
        <f t="shared" si="69"/>
        <v/>
      </c>
      <c r="AD536" t="str">
        <f t="shared" si="70"/>
        <v/>
      </c>
      <c r="AE536" t="str">
        <f t="shared" si="71"/>
        <v>Invalid</v>
      </c>
    </row>
    <row r="537" spans="1:31">
      <c r="A537" t="s">
        <v>1702</v>
      </c>
      <c r="B537" s="3">
        <v>45431</v>
      </c>
      <c r="C537" s="3">
        <v>45433</v>
      </c>
      <c r="D537" t="s">
        <v>1703</v>
      </c>
      <c r="E537" t="s">
        <v>162</v>
      </c>
      <c r="F537" t="s">
        <v>37</v>
      </c>
      <c r="G537" t="s">
        <v>63</v>
      </c>
      <c r="H537" t="s">
        <v>64</v>
      </c>
      <c r="I537" t="s">
        <v>65</v>
      </c>
      <c r="J537" t="s">
        <v>74</v>
      </c>
      <c r="K537" t="s">
        <v>80</v>
      </c>
      <c r="L537" t="s">
        <v>1704</v>
      </c>
      <c r="M537" t="s">
        <v>50</v>
      </c>
      <c r="N537">
        <v>3</v>
      </c>
      <c r="O537">
        <v>4000.98</v>
      </c>
      <c r="P537">
        <v>0.2</v>
      </c>
      <c r="Q537">
        <v>9602.35</v>
      </c>
      <c r="R537">
        <v>7387.57</v>
      </c>
      <c r="S537">
        <v>2214.7800000000002</v>
      </c>
      <c r="T537" t="s">
        <v>32</v>
      </c>
      <c r="U537" t="s">
        <v>33</v>
      </c>
      <c r="V537">
        <f>IF(OR(B537="Invalid Date",C537="Invalid Date"),"Invalid Date",C537-B537)</f>
        <v>2</v>
      </c>
      <c r="W537" s="4" t="str">
        <f>IF(OR(B537="Invalid Date",C537="Invalid Date"),"Invalid Date",IF(C537&lt;B537,"Invalid Shipping","OK"))</f>
        <v>OK</v>
      </c>
      <c r="X537">
        <f t="shared" si="64"/>
        <v>1</v>
      </c>
      <c r="Y537">
        <f t="shared" si="65"/>
        <v>0.2</v>
      </c>
      <c r="Z537">
        <f t="shared" si="66"/>
        <v>9602.3520000000008</v>
      </c>
      <c r="AA537">
        <f t="shared" si="67"/>
        <v>2214.7820000000011</v>
      </c>
      <c r="AB537" s="6">
        <f t="shared" si="68"/>
        <v>0.23064994909580494</v>
      </c>
      <c r="AC537" t="str">
        <f t="shared" si="69"/>
        <v>May</v>
      </c>
      <c r="AD537">
        <f t="shared" si="70"/>
        <v>2024</v>
      </c>
      <c r="AE537" t="str">
        <f t="shared" si="71"/>
        <v>Clean</v>
      </c>
    </row>
    <row r="538" spans="1:31">
      <c r="A538" t="s">
        <v>1705</v>
      </c>
      <c r="B538" s="3">
        <v>45757</v>
      </c>
      <c r="C538" s="3">
        <v>45764</v>
      </c>
      <c r="D538" t="s">
        <v>1706</v>
      </c>
      <c r="E538" t="s">
        <v>62</v>
      </c>
      <c r="F538" t="s">
        <v>37</v>
      </c>
      <c r="G538" t="s">
        <v>63</v>
      </c>
      <c r="H538" t="s">
        <v>26</v>
      </c>
      <c r="I538" t="s">
        <v>109</v>
      </c>
      <c r="J538" t="s">
        <v>41</v>
      </c>
      <c r="K538" t="s">
        <v>66</v>
      </c>
      <c r="L538" t="s">
        <v>1707</v>
      </c>
      <c r="M538" t="s">
        <v>50</v>
      </c>
      <c r="N538">
        <v>7</v>
      </c>
      <c r="O538">
        <v>3788.9</v>
      </c>
      <c r="P538">
        <v>0.25</v>
      </c>
      <c r="Q538">
        <v>19891.72</v>
      </c>
      <c r="R538">
        <v>12295.76</v>
      </c>
      <c r="S538">
        <v>7595.96</v>
      </c>
      <c r="T538" t="s">
        <v>155</v>
      </c>
      <c r="U538" t="s">
        <v>68</v>
      </c>
      <c r="V538">
        <f>IF(OR(B538="Invalid Date",C538="Invalid Date"),"Invalid Date",C538-B538)</f>
        <v>7</v>
      </c>
      <c r="W538" s="4" t="str">
        <f>IF(OR(B538="Invalid Date",C538="Invalid Date"),"Invalid Date",IF(C538&lt;B538,"Invalid Shipping","OK"))</f>
        <v>OK</v>
      </c>
      <c r="X538">
        <f t="shared" si="64"/>
        <v>1</v>
      </c>
      <c r="Y538">
        <f t="shared" si="65"/>
        <v>0.25</v>
      </c>
      <c r="Z538">
        <f t="shared" si="66"/>
        <v>19891.724999999999</v>
      </c>
      <c r="AA538">
        <f t="shared" si="67"/>
        <v>7595.9649999999983</v>
      </c>
      <c r="AB538" s="6">
        <f t="shared" si="68"/>
        <v>0.38186557475533162</v>
      </c>
      <c r="AC538" t="str">
        <f t="shared" si="69"/>
        <v>April</v>
      </c>
      <c r="AD538">
        <f t="shared" si="70"/>
        <v>2025</v>
      </c>
      <c r="AE538" t="str">
        <f t="shared" si="71"/>
        <v>Clean</v>
      </c>
    </row>
    <row r="539" spans="1:31">
      <c r="A539" t="s">
        <v>1708</v>
      </c>
      <c r="B539" s="3">
        <v>45313</v>
      </c>
      <c r="C539" s="3">
        <v>45321</v>
      </c>
      <c r="D539" t="s">
        <v>1709</v>
      </c>
      <c r="E539" t="s">
        <v>62</v>
      </c>
      <c r="F539" t="s">
        <v>37</v>
      </c>
      <c r="G539" t="s">
        <v>25</v>
      </c>
      <c r="H539" t="s">
        <v>236</v>
      </c>
      <c r="I539" t="s">
        <v>237</v>
      </c>
      <c r="J539" t="s">
        <v>28</v>
      </c>
      <c r="K539" t="s">
        <v>48</v>
      </c>
      <c r="L539" t="s">
        <v>1710</v>
      </c>
      <c r="M539" t="s">
        <v>44</v>
      </c>
      <c r="N539">
        <v>3</v>
      </c>
      <c r="O539">
        <v>676.37</v>
      </c>
      <c r="P539">
        <v>0.05</v>
      </c>
      <c r="Q539">
        <v>1927.65</v>
      </c>
      <c r="R539">
        <v>1460.6</v>
      </c>
      <c r="S539">
        <v>467.05</v>
      </c>
      <c r="T539" t="s">
        <v>155</v>
      </c>
      <c r="U539" t="s">
        <v>68</v>
      </c>
      <c r="V539">
        <f>IF(OR(B539="Invalid Date",C539="Invalid Date"),"Invalid Date",C539-B539)</f>
        <v>8</v>
      </c>
      <c r="W539" s="4" t="str">
        <f>IF(OR(B539="Invalid Date",C539="Invalid Date"),"Invalid Date",IF(C539&lt;B539,"Invalid Shipping","OK"))</f>
        <v>OK</v>
      </c>
      <c r="X539">
        <f t="shared" si="64"/>
        <v>1</v>
      </c>
      <c r="Y539">
        <f t="shared" si="65"/>
        <v>0.05</v>
      </c>
      <c r="Z539">
        <f t="shared" si="66"/>
        <v>1927.6545000000001</v>
      </c>
      <c r="AA539">
        <f t="shared" si="67"/>
        <v>467.05450000000019</v>
      </c>
      <c r="AB539" s="6">
        <f t="shared" si="68"/>
        <v>0.24229160360427668</v>
      </c>
      <c r="AC539" t="str">
        <f t="shared" si="69"/>
        <v>January</v>
      </c>
      <c r="AD539">
        <f t="shared" si="70"/>
        <v>2024</v>
      </c>
      <c r="AE539" t="str">
        <f t="shared" si="71"/>
        <v>Clean</v>
      </c>
    </row>
    <row r="540" spans="1:31">
      <c r="A540" t="s">
        <v>1711</v>
      </c>
      <c r="B540" s="3">
        <v>45560</v>
      </c>
      <c r="C540" s="3">
        <v>45566</v>
      </c>
      <c r="D540" t="s">
        <v>1712</v>
      </c>
      <c r="E540" t="s">
        <v>162</v>
      </c>
      <c r="F540" t="s">
        <v>37</v>
      </c>
      <c r="G540" t="s">
        <v>38</v>
      </c>
      <c r="H540" t="s">
        <v>228</v>
      </c>
      <c r="I540" t="s">
        <v>229</v>
      </c>
      <c r="J540" t="s">
        <v>41</v>
      </c>
      <c r="K540" t="s">
        <v>42</v>
      </c>
      <c r="L540" t="s">
        <v>1713</v>
      </c>
      <c r="M540" t="s">
        <v>31</v>
      </c>
      <c r="N540">
        <v>9</v>
      </c>
      <c r="O540">
        <v>3908.6</v>
      </c>
      <c r="P540">
        <v>0.15</v>
      </c>
      <c r="Q540">
        <v>29900.79</v>
      </c>
      <c r="R540">
        <v>24650.67</v>
      </c>
      <c r="S540">
        <v>5250.12</v>
      </c>
      <c r="T540" t="s">
        <v>32</v>
      </c>
      <c r="U540" t="s">
        <v>33</v>
      </c>
      <c r="V540">
        <f>IF(OR(B540="Invalid Date",C540="Invalid Date"),"Invalid Date",C540-B540)</f>
        <v>6</v>
      </c>
      <c r="W540" s="4" t="str">
        <f>IF(OR(B540="Invalid Date",C540="Invalid Date"),"Invalid Date",IF(C540&lt;B540,"Invalid Shipping","OK"))</f>
        <v>OK</v>
      </c>
      <c r="X540">
        <f t="shared" si="64"/>
        <v>1</v>
      </c>
      <c r="Y540">
        <f t="shared" si="65"/>
        <v>0.15</v>
      </c>
      <c r="Z540">
        <f t="shared" si="66"/>
        <v>29900.79</v>
      </c>
      <c r="AA540">
        <f t="shared" si="67"/>
        <v>5250.1200000000026</v>
      </c>
      <c r="AB540" s="6">
        <f t="shared" si="68"/>
        <v>0.17558465846554563</v>
      </c>
      <c r="AC540" t="str">
        <f t="shared" si="69"/>
        <v>September</v>
      </c>
      <c r="AD540">
        <f t="shared" si="70"/>
        <v>2024</v>
      </c>
      <c r="AE540" t="str">
        <f t="shared" si="71"/>
        <v>Clean</v>
      </c>
    </row>
    <row r="541" spans="1:31">
      <c r="A541" t="s">
        <v>1714</v>
      </c>
      <c r="B541" s="3">
        <v>45754</v>
      </c>
      <c r="C541" s="3">
        <v>45842</v>
      </c>
      <c r="D541" t="s">
        <v>1715</v>
      </c>
      <c r="E541" t="s">
        <v>36</v>
      </c>
      <c r="F541" t="s">
        <v>37</v>
      </c>
      <c r="G541" t="s">
        <v>54</v>
      </c>
      <c r="H541" t="s">
        <v>247</v>
      </c>
      <c r="I541" t="s">
        <v>248</v>
      </c>
      <c r="J541" t="s">
        <v>41</v>
      </c>
      <c r="K541" t="s">
        <v>66</v>
      </c>
      <c r="L541" t="s">
        <v>1716</v>
      </c>
      <c r="M541" t="s">
        <v>59</v>
      </c>
      <c r="N541">
        <v>3</v>
      </c>
      <c r="O541">
        <v>705.35</v>
      </c>
      <c r="P541">
        <v>0.1</v>
      </c>
      <c r="Q541">
        <v>1904.45</v>
      </c>
      <c r="R541">
        <v>1316.54</v>
      </c>
      <c r="S541">
        <v>587.91</v>
      </c>
      <c r="T541" t="s">
        <v>32</v>
      </c>
      <c r="U541" t="s">
        <v>68</v>
      </c>
      <c r="V541">
        <f>IF(OR(B541="Invalid Date",C541="Invalid Date"),"Invalid Date",C541-B541)</f>
        <v>88</v>
      </c>
      <c r="W541" s="4" t="str">
        <f>IF(OR(B541="Invalid Date",C541="Invalid Date"),"Invalid Date",IF(C541&lt;B541,"Invalid Shipping","OK"))</f>
        <v>OK</v>
      </c>
      <c r="X541">
        <f t="shared" si="64"/>
        <v>1</v>
      </c>
      <c r="Y541">
        <f t="shared" si="65"/>
        <v>0.1</v>
      </c>
      <c r="Z541">
        <f t="shared" si="66"/>
        <v>1904.4450000000002</v>
      </c>
      <c r="AA541">
        <f t="shared" si="67"/>
        <v>587.9050000000002</v>
      </c>
      <c r="AB541" s="6">
        <f t="shared" si="68"/>
        <v>0.30870148520960183</v>
      </c>
      <c r="AC541" t="str">
        <f t="shared" si="69"/>
        <v>April</v>
      </c>
      <c r="AD541">
        <f t="shared" si="70"/>
        <v>2025</v>
      </c>
      <c r="AE541" t="str">
        <f t="shared" si="71"/>
        <v>Clean</v>
      </c>
    </row>
    <row r="542" spans="1:31">
      <c r="A542" t="s">
        <v>1717</v>
      </c>
      <c r="B542" s="3">
        <v>45348</v>
      </c>
      <c r="C542" s="3">
        <v>45345</v>
      </c>
      <c r="D542" t="s">
        <v>1718</v>
      </c>
      <c r="E542" t="s">
        <v>264</v>
      </c>
      <c r="F542" t="s">
        <v>24</v>
      </c>
      <c r="G542" t="s">
        <v>63</v>
      </c>
      <c r="H542" t="s">
        <v>180</v>
      </c>
      <c r="I542" t="s">
        <v>181</v>
      </c>
      <c r="J542" t="s">
        <v>41</v>
      </c>
      <c r="K542" t="s">
        <v>57</v>
      </c>
      <c r="L542" t="s">
        <v>1719</v>
      </c>
      <c r="M542" t="s">
        <v>59</v>
      </c>
      <c r="N542">
        <v>7</v>
      </c>
      <c r="O542">
        <v>3852.07</v>
      </c>
      <c r="P542">
        <v>0.2</v>
      </c>
      <c r="Q542">
        <v>21571.59</v>
      </c>
      <c r="R542">
        <v>17118.07</v>
      </c>
      <c r="S542">
        <v>4453.5200000000004</v>
      </c>
      <c r="T542" t="s">
        <v>32</v>
      </c>
      <c r="U542" t="s">
        <v>33</v>
      </c>
      <c r="V542">
        <f>IF(OR(B542="Invalid Date",C542="Invalid Date"),"Invalid Date",C542-B542)</f>
        <v>-3</v>
      </c>
      <c r="W542" s="4" t="str">
        <f>IF(OR(B542="Invalid Date",C542="Invalid Date"),"Invalid Date",IF(C542&lt;B542,"Invalid Shipping","OK"))</f>
        <v>Invalid Shipping</v>
      </c>
      <c r="X542">
        <f t="shared" si="64"/>
        <v>1</v>
      </c>
      <c r="Y542">
        <f t="shared" si="65"/>
        <v>0.2</v>
      </c>
      <c r="Z542">
        <f t="shared" si="66"/>
        <v>21571.592000000004</v>
      </c>
      <c r="AA542">
        <f t="shared" si="67"/>
        <v>4453.5220000000045</v>
      </c>
      <c r="AB542" s="6">
        <f t="shared" si="68"/>
        <v>0.20645309813017063</v>
      </c>
      <c r="AC542" t="str">
        <f t="shared" si="69"/>
        <v>February</v>
      </c>
      <c r="AD542">
        <f t="shared" si="70"/>
        <v>2024</v>
      </c>
      <c r="AE542" t="str">
        <f t="shared" si="71"/>
        <v>Invalid</v>
      </c>
    </row>
    <row r="543" spans="1:31">
      <c r="A543" t="s">
        <v>1720</v>
      </c>
      <c r="B543" s="3">
        <v>45846</v>
      </c>
      <c r="C543" s="3">
        <v>45847</v>
      </c>
      <c r="D543" t="s">
        <v>1721</v>
      </c>
      <c r="E543" t="s">
        <v>132</v>
      </c>
      <c r="F543" t="s">
        <v>24</v>
      </c>
      <c r="G543" t="s">
        <v>63</v>
      </c>
      <c r="H543" t="s">
        <v>64</v>
      </c>
      <c r="I543" t="s">
        <v>65</v>
      </c>
      <c r="J543" t="s">
        <v>74</v>
      </c>
      <c r="K543" t="s">
        <v>80</v>
      </c>
      <c r="L543" t="s">
        <v>1722</v>
      </c>
      <c r="M543" t="s">
        <v>44</v>
      </c>
      <c r="N543">
        <v>3</v>
      </c>
      <c r="O543">
        <v>2880.56</v>
      </c>
      <c r="P543">
        <v>0</v>
      </c>
      <c r="Q543">
        <v>8641.68</v>
      </c>
      <c r="R543">
        <v>5747.09</v>
      </c>
      <c r="S543">
        <v>2894.59</v>
      </c>
      <c r="T543" t="s">
        <v>32</v>
      </c>
      <c r="U543" t="s">
        <v>103</v>
      </c>
      <c r="V543">
        <f>IF(OR(B543="Invalid Date",C543="Invalid Date"),"Invalid Date",C543-B543)</f>
        <v>1</v>
      </c>
      <c r="W543" s="4" t="str">
        <f>IF(OR(B543="Invalid Date",C543="Invalid Date"),"Invalid Date",IF(C543&lt;B543,"Invalid Shipping","OK"))</f>
        <v>OK</v>
      </c>
      <c r="X543">
        <f t="shared" si="64"/>
        <v>1</v>
      </c>
      <c r="Y543">
        <f t="shared" si="65"/>
        <v>0</v>
      </c>
      <c r="Z543">
        <f t="shared" si="66"/>
        <v>8641.68</v>
      </c>
      <c r="AA543">
        <f t="shared" si="67"/>
        <v>2894.59</v>
      </c>
      <c r="AB543" s="6">
        <f t="shared" si="68"/>
        <v>0.33495686024013849</v>
      </c>
      <c r="AC543" t="str">
        <f t="shared" si="69"/>
        <v>July</v>
      </c>
      <c r="AD543">
        <f t="shared" si="70"/>
        <v>2025</v>
      </c>
      <c r="AE543" t="str">
        <f t="shared" si="71"/>
        <v>Clean</v>
      </c>
    </row>
    <row r="544" spans="1:31">
      <c r="A544" t="s">
        <v>1723</v>
      </c>
      <c r="B544" s="3" t="s">
        <v>2763</v>
      </c>
      <c r="C544" s="3">
        <v>45558</v>
      </c>
      <c r="D544" t="s">
        <v>1724</v>
      </c>
      <c r="E544" t="s">
        <v>118</v>
      </c>
      <c r="F544" t="s">
        <v>95</v>
      </c>
      <c r="G544" t="s">
        <v>54</v>
      </c>
      <c r="H544" t="s">
        <v>185</v>
      </c>
      <c r="I544" t="s">
        <v>186</v>
      </c>
      <c r="J544" t="s">
        <v>41</v>
      </c>
      <c r="K544" t="s">
        <v>158</v>
      </c>
      <c r="L544" t="s">
        <v>1725</v>
      </c>
      <c r="M544" t="s">
        <v>31</v>
      </c>
      <c r="N544">
        <v>3</v>
      </c>
      <c r="O544">
        <v>4067.62</v>
      </c>
      <c r="P544">
        <v>0.2</v>
      </c>
      <c r="Q544">
        <v>9988.5300000000007</v>
      </c>
      <c r="R544">
        <v>8368.24</v>
      </c>
      <c r="S544">
        <v>1394.05</v>
      </c>
      <c r="T544" t="s">
        <v>32</v>
      </c>
      <c r="U544" t="s">
        <v>68</v>
      </c>
      <c r="V544" t="str">
        <f>IF(OR(B544="Invalid Date",C544="Invalid Date"),"Invalid Date",C544-B544)</f>
        <v>Invalid Date</v>
      </c>
      <c r="W544" s="4" t="str">
        <f>IF(OR(B544="Invalid Date",C544="Invalid Date"),"Invalid Date",IF(C544&lt;B544,"Invalid Shipping","OK"))</f>
        <v>Invalid Date</v>
      </c>
      <c r="X544">
        <f t="shared" si="64"/>
        <v>1</v>
      </c>
      <c r="Y544">
        <f t="shared" si="65"/>
        <v>0.2</v>
      </c>
      <c r="Z544">
        <f t="shared" si="66"/>
        <v>9762.2880000000005</v>
      </c>
      <c r="AA544">
        <f t="shared" si="67"/>
        <v>1394.0480000000007</v>
      </c>
      <c r="AB544" s="6">
        <f t="shared" si="68"/>
        <v>0.14279931098119628</v>
      </c>
      <c r="AC544" t="str">
        <f t="shared" si="69"/>
        <v/>
      </c>
      <c r="AD544" t="str">
        <f t="shared" si="70"/>
        <v/>
      </c>
      <c r="AE544" t="str">
        <f t="shared" si="71"/>
        <v>Invalid</v>
      </c>
    </row>
    <row r="545" spans="1:31">
      <c r="A545" t="s">
        <v>1726</v>
      </c>
      <c r="B545" s="3">
        <v>45487</v>
      </c>
      <c r="C545" s="3">
        <v>45493</v>
      </c>
      <c r="D545" t="s">
        <v>1727</v>
      </c>
      <c r="E545" t="s">
        <v>36</v>
      </c>
      <c r="F545" t="s">
        <v>24</v>
      </c>
      <c r="G545" t="s">
        <v>38</v>
      </c>
      <c r="H545" t="s">
        <v>145</v>
      </c>
      <c r="I545" t="s">
        <v>146</v>
      </c>
      <c r="J545" t="s">
        <v>74</v>
      </c>
      <c r="K545" t="s">
        <v>80</v>
      </c>
      <c r="L545" t="s">
        <v>1728</v>
      </c>
      <c r="M545" t="s">
        <v>44</v>
      </c>
      <c r="N545">
        <v>1</v>
      </c>
      <c r="O545">
        <v>492.67</v>
      </c>
      <c r="P545">
        <v>0.15</v>
      </c>
      <c r="Q545">
        <v>418.77</v>
      </c>
      <c r="R545">
        <v>313.72000000000003</v>
      </c>
      <c r="S545">
        <v>105.05</v>
      </c>
      <c r="T545" t="s">
        <v>32</v>
      </c>
      <c r="U545" t="s">
        <v>33</v>
      </c>
      <c r="V545">
        <f>IF(OR(B545="Invalid Date",C545="Invalid Date"),"Invalid Date",C545-B545)</f>
        <v>6</v>
      </c>
      <c r="W545" s="4" t="str">
        <f>IF(OR(B545="Invalid Date",C545="Invalid Date"),"Invalid Date",IF(C545&lt;B545,"Invalid Shipping","OK"))</f>
        <v>OK</v>
      </c>
      <c r="X545">
        <f t="shared" si="64"/>
        <v>1</v>
      </c>
      <c r="Y545">
        <f t="shared" si="65"/>
        <v>0.15</v>
      </c>
      <c r="Z545">
        <f t="shared" si="66"/>
        <v>418.76949999999999</v>
      </c>
      <c r="AA545">
        <f t="shared" si="67"/>
        <v>105.04949999999997</v>
      </c>
      <c r="AB545" s="6">
        <f t="shared" si="68"/>
        <v>0.25085279610859906</v>
      </c>
      <c r="AC545" t="str">
        <f t="shared" si="69"/>
        <v>July</v>
      </c>
      <c r="AD545">
        <f t="shared" si="70"/>
        <v>2024</v>
      </c>
      <c r="AE545" t="str">
        <f t="shared" si="71"/>
        <v>Clean</v>
      </c>
    </row>
    <row r="546" spans="1:31">
      <c r="A546" t="s">
        <v>1729</v>
      </c>
      <c r="B546" s="3">
        <v>45686</v>
      </c>
      <c r="C546" s="3">
        <v>45779</v>
      </c>
      <c r="D546" t="s">
        <v>1730</v>
      </c>
      <c r="E546" t="s">
        <v>62</v>
      </c>
      <c r="F546" t="s">
        <v>24</v>
      </c>
      <c r="G546" t="s">
        <v>54</v>
      </c>
      <c r="H546" t="s">
        <v>185</v>
      </c>
      <c r="I546" t="s">
        <v>186</v>
      </c>
      <c r="J546" t="s">
        <v>28</v>
      </c>
      <c r="K546" t="s">
        <v>48</v>
      </c>
      <c r="L546" t="s">
        <v>1731</v>
      </c>
      <c r="M546" t="s">
        <v>44</v>
      </c>
      <c r="N546">
        <v>8</v>
      </c>
      <c r="O546">
        <v>3643.62</v>
      </c>
      <c r="P546">
        <v>0.25</v>
      </c>
      <c r="Q546">
        <v>21861.72</v>
      </c>
      <c r="R546">
        <v>18464.34</v>
      </c>
      <c r="S546">
        <v>3397.38</v>
      </c>
      <c r="T546" t="s">
        <v>32</v>
      </c>
      <c r="U546" t="s">
        <v>68</v>
      </c>
      <c r="V546">
        <f>IF(OR(B546="Invalid Date",C546="Invalid Date"),"Invalid Date",C546-B546)</f>
        <v>93</v>
      </c>
      <c r="W546" s="4" t="str">
        <f>IF(OR(B546="Invalid Date",C546="Invalid Date"),"Invalid Date",IF(C546&lt;B546,"Invalid Shipping","OK"))</f>
        <v>OK</v>
      </c>
      <c r="X546">
        <f t="shared" si="64"/>
        <v>1</v>
      </c>
      <c r="Y546">
        <f t="shared" si="65"/>
        <v>0.25</v>
      </c>
      <c r="Z546">
        <f t="shared" si="66"/>
        <v>21861.72</v>
      </c>
      <c r="AA546">
        <f t="shared" si="67"/>
        <v>3397.380000000001</v>
      </c>
      <c r="AB546" s="6">
        <f t="shared" si="68"/>
        <v>0.1554031430280875</v>
      </c>
      <c r="AC546" t="str">
        <f t="shared" si="69"/>
        <v>January</v>
      </c>
      <c r="AD546">
        <f t="shared" si="70"/>
        <v>2025</v>
      </c>
      <c r="AE546" t="str">
        <f t="shared" si="71"/>
        <v>Clean</v>
      </c>
    </row>
    <row r="547" spans="1:31">
      <c r="A547" t="s">
        <v>1732</v>
      </c>
      <c r="B547" s="3" t="s">
        <v>2763</v>
      </c>
      <c r="C547" s="3">
        <v>45442</v>
      </c>
      <c r="D547" t="s">
        <v>1733</v>
      </c>
      <c r="E547" t="s">
        <v>264</v>
      </c>
      <c r="F547" t="s">
        <v>37</v>
      </c>
      <c r="G547" t="s">
        <v>38</v>
      </c>
      <c r="H547" t="s">
        <v>228</v>
      </c>
      <c r="I547" t="s">
        <v>229</v>
      </c>
      <c r="J547" t="s">
        <v>28</v>
      </c>
      <c r="K547" t="s">
        <v>124</v>
      </c>
      <c r="L547" t="s">
        <v>1734</v>
      </c>
      <c r="M547" t="s">
        <v>44</v>
      </c>
      <c r="N547">
        <v>7</v>
      </c>
      <c r="O547">
        <v>2900.86</v>
      </c>
      <c r="P547">
        <v>0.15</v>
      </c>
      <c r="Q547">
        <v>17260.12</v>
      </c>
      <c r="R547">
        <v>13513.51</v>
      </c>
      <c r="S547">
        <v>3746.61</v>
      </c>
      <c r="T547" t="s">
        <v>32</v>
      </c>
      <c r="U547" t="s">
        <v>33</v>
      </c>
      <c r="V547" t="str">
        <f>IF(OR(B547="Invalid Date",C547="Invalid Date"),"Invalid Date",C547-B547)</f>
        <v>Invalid Date</v>
      </c>
      <c r="W547" s="4" t="str">
        <f>IF(OR(B547="Invalid Date",C547="Invalid Date"),"Invalid Date",IF(C547&lt;B547,"Invalid Shipping","OK"))</f>
        <v>Invalid Date</v>
      </c>
      <c r="X547">
        <f t="shared" si="64"/>
        <v>1</v>
      </c>
      <c r="Y547">
        <f t="shared" si="65"/>
        <v>0.15</v>
      </c>
      <c r="Z547">
        <f t="shared" si="66"/>
        <v>17260.116999999998</v>
      </c>
      <c r="AA547">
        <f t="shared" si="67"/>
        <v>3746.6069999999982</v>
      </c>
      <c r="AB547" s="6">
        <f t="shared" si="68"/>
        <v>0.21706730029697935</v>
      </c>
      <c r="AC547" t="str">
        <f t="shared" si="69"/>
        <v/>
      </c>
      <c r="AD547" t="str">
        <f t="shared" si="70"/>
        <v/>
      </c>
      <c r="AE547" t="str">
        <f t="shared" si="71"/>
        <v>Invalid</v>
      </c>
    </row>
    <row r="548" spans="1:31">
      <c r="A548" t="s">
        <v>1735</v>
      </c>
      <c r="B548" s="3">
        <v>45883</v>
      </c>
      <c r="C548" s="3">
        <v>45891</v>
      </c>
      <c r="D548" t="s">
        <v>1736</v>
      </c>
      <c r="E548" t="s">
        <v>53</v>
      </c>
      <c r="F548" t="s">
        <v>90</v>
      </c>
      <c r="G548" t="s">
        <v>63</v>
      </c>
      <c r="H548" t="s">
        <v>180</v>
      </c>
      <c r="I548" t="s">
        <v>181</v>
      </c>
      <c r="J548" t="s">
        <v>28</v>
      </c>
      <c r="K548" t="s">
        <v>29</v>
      </c>
      <c r="L548" t="s">
        <v>1737</v>
      </c>
      <c r="M548" t="s">
        <v>50</v>
      </c>
      <c r="N548">
        <v>5</v>
      </c>
      <c r="O548">
        <v>2567.37</v>
      </c>
      <c r="P548">
        <v>0.15</v>
      </c>
      <c r="Q548">
        <v>10911.32</v>
      </c>
      <c r="R548">
        <v>6966.44</v>
      </c>
      <c r="S548">
        <v>4395.17</v>
      </c>
      <c r="T548" t="s">
        <v>32</v>
      </c>
      <c r="U548" t="s">
        <v>33</v>
      </c>
      <c r="V548">
        <f>IF(OR(B548="Invalid Date",C548="Invalid Date"),"Invalid Date",C548-B548)</f>
        <v>8</v>
      </c>
      <c r="W548" s="4" t="str">
        <f>IF(OR(B548="Invalid Date",C548="Invalid Date"),"Invalid Date",IF(C548&lt;B548,"Invalid Shipping","OK"))</f>
        <v>OK</v>
      </c>
      <c r="X548">
        <f t="shared" si="64"/>
        <v>1</v>
      </c>
      <c r="Y548">
        <f t="shared" si="65"/>
        <v>0.15</v>
      </c>
      <c r="Z548">
        <f t="shared" si="66"/>
        <v>10911.322499999998</v>
      </c>
      <c r="AA548">
        <f t="shared" si="67"/>
        <v>3944.8824999999988</v>
      </c>
      <c r="AB548" s="6">
        <f t="shared" si="68"/>
        <v>0.36154027158486052</v>
      </c>
      <c r="AC548" t="str">
        <f t="shared" si="69"/>
        <v>August</v>
      </c>
      <c r="AD548">
        <f t="shared" si="70"/>
        <v>2025</v>
      </c>
      <c r="AE548" t="str">
        <f t="shared" si="71"/>
        <v>Clean</v>
      </c>
    </row>
    <row r="549" spans="1:31">
      <c r="A549" t="s">
        <v>1738</v>
      </c>
      <c r="B549" s="3">
        <v>45428</v>
      </c>
      <c r="C549" s="3">
        <v>45435</v>
      </c>
      <c r="D549" t="s">
        <v>1739</v>
      </c>
      <c r="E549" t="s">
        <v>79</v>
      </c>
      <c r="F549" t="s">
        <v>37</v>
      </c>
      <c r="G549" t="s">
        <v>25</v>
      </c>
      <c r="H549" t="s">
        <v>136</v>
      </c>
      <c r="I549" t="s">
        <v>137</v>
      </c>
      <c r="J549" t="s">
        <v>74</v>
      </c>
      <c r="K549" t="s">
        <v>80</v>
      </c>
      <c r="L549" t="s">
        <v>1740</v>
      </c>
      <c r="M549" t="s">
        <v>59</v>
      </c>
      <c r="N549">
        <v>9</v>
      </c>
      <c r="O549">
        <v>3722.09</v>
      </c>
      <c r="P549">
        <v>0.1</v>
      </c>
      <c r="Q549">
        <v>30148.93</v>
      </c>
      <c r="R549">
        <v>25155.07</v>
      </c>
      <c r="S549">
        <v>4993.8599999999997</v>
      </c>
      <c r="T549" t="s">
        <v>32</v>
      </c>
      <c r="U549" t="s">
        <v>33</v>
      </c>
      <c r="V549">
        <f>IF(OR(B549="Invalid Date",C549="Invalid Date"),"Invalid Date",C549-B549)</f>
        <v>7</v>
      </c>
      <c r="W549" s="4" t="str">
        <f>IF(OR(B549="Invalid Date",C549="Invalid Date"),"Invalid Date",IF(C549&lt;B549,"Invalid Shipping","OK"))</f>
        <v>OK</v>
      </c>
      <c r="X549">
        <f t="shared" si="64"/>
        <v>1</v>
      </c>
      <c r="Y549">
        <f t="shared" si="65"/>
        <v>0.1</v>
      </c>
      <c r="Z549">
        <f t="shared" si="66"/>
        <v>30148.929</v>
      </c>
      <c r="AA549">
        <f t="shared" si="67"/>
        <v>4993.8590000000004</v>
      </c>
      <c r="AB549" s="6">
        <f t="shared" si="68"/>
        <v>0.16563968159532302</v>
      </c>
      <c r="AC549" t="str">
        <f t="shared" si="69"/>
        <v>May</v>
      </c>
      <c r="AD549">
        <f t="shared" si="70"/>
        <v>2024</v>
      </c>
      <c r="AE549" t="str">
        <f t="shared" si="71"/>
        <v>Clean</v>
      </c>
    </row>
    <row r="550" spans="1:31">
      <c r="A550" t="s">
        <v>1741</v>
      </c>
      <c r="B550" s="3">
        <v>45441</v>
      </c>
      <c r="C550" s="3">
        <v>45441</v>
      </c>
      <c r="D550" t="s">
        <v>1742</v>
      </c>
      <c r="E550" t="s">
        <v>141</v>
      </c>
      <c r="F550" t="s">
        <v>90</v>
      </c>
      <c r="G550" t="s">
        <v>38</v>
      </c>
      <c r="H550" t="s">
        <v>145</v>
      </c>
      <c r="I550" t="s">
        <v>146</v>
      </c>
      <c r="J550" t="s">
        <v>41</v>
      </c>
      <c r="K550" t="s">
        <v>158</v>
      </c>
      <c r="L550" t="s">
        <v>1743</v>
      </c>
      <c r="M550" t="s">
        <v>44</v>
      </c>
      <c r="N550">
        <v>1</v>
      </c>
      <c r="O550">
        <v>1072.01</v>
      </c>
      <c r="P550">
        <v>0</v>
      </c>
      <c r="Q550">
        <v>1072.01</v>
      </c>
      <c r="R550">
        <v>852.62</v>
      </c>
      <c r="S550">
        <v>219.39</v>
      </c>
      <c r="T550" t="s">
        <v>111</v>
      </c>
      <c r="U550" t="s">
        <v>68</v>
      </c>
      <c r="V550">
        <f>IF(OR(B550="Invalid Date",C550="Invalid Date"),"Invalid Date",C550-B550)</f>
        <v>0</v>
      </c>
      <c r="W550" s="4" t="str">
        <f>IF(OR(B550="Invalid Date",C550="Invalid Date"),"Invalid Date",IF(C550&lt;B550,"Invalid Shipping","OK"))</f>
        <v>OK</v>
      </c>
      <c r="X550">
        <f t="shared" si="64"/>
        <v>1</v>
      </c>
      <c r="Y550">
        <f t="shared" si="65"/>
        <v>0</v>
      </c>
      <c r="Z550">
        <f t="shared" si="66"/>
        <v>1072.01</v>
      </c>
      <c r="AA550">
        <f t="shared" si="67"/>
        <v>219.39</v>
      </c>
      <c r="AB550" s="6">
        <f t="shared" si="68"/>
        <v>0.20465294167032022</v>
      </c>
      <c r="AC550" t="str">
        <f t="shared" si="69"/>
        <v>May</v>
      </c>
      <c r="AD550">
        <f t="shared" si="70"/>
        <v>2024</v>
      </c>
      <c r="AE550" t="str">
        <f t="shared" si="71"/>
        <v>Clean</v>
      </c>
    </row>
    <row r="551" spans="1:31">
      <c r="A551" t="s">
        <v>1744</v>
      </c>
      <c r="B551" s="3">
        <v>45971</v>
      </c>
      <c r="C551" s="3">
        <v>45943</v>
      </c>
      <c r="D551" t="s">
        <v>1745</v>
      </c>
      <c r="E551" t="s">
        <v>36</v>
      </c>
      <c r="F551" t="s">
        <v>90</v>
      </c>
      <c r="G551" t="s">
        <v>54</v>
      </c>
      <c r="H551" t="s">
        <v>55</v>
      </c>
      <c r="I551" t="s">
        <v>56</v>
      </c>
      <c r="J551" t="s">
        <v>28</v>
      </c>
      <c r="K551" t="s">
        <v>48</v>
      </c>
      <c r="L551" t="s">
        <v>1746</v>
      </c>
      <c r="M551" t="s">
        <v>31</v>
      </c>
      <c r="N551">
        <v>3</v>
      </c>
      <c r="O551">
        <v>3804.27</v>
      </c>
      <c r="P551">
        <v>0.1</v>
      </c>
      <c r="Q551">
        <v>10271.530000000001</v>
      </c>
      <c r="R551">
        <v>8272.24</v>
      </c>
      <c r="S551">
        <v>1999.29</v>
      </c>
      <c r="T551" t="s">
        <v>32</v>
      </c>
      <c r="U551" t="s">
        <v>33</v>
      </c>
      <c r="V551">
        <f>IF(OR(B551="Invalid Date",C551="Invalid Date"),"Invalid Date",C551-B551)</f>
        <v>-28</v>
      </c>
      <c r="W551" s="4" t="str">
        <f>IF(OR(B551="Invalid Date",C551="Invalid Date"),"Invalid Date",IF(C551&lt;B551,"Invalid Shipping","OK"))</f>
        <v>Invalid Shipping</v>
      </c>
      <c r="X551">
        <f t="shared" si="64"/>
        <v>1</v>
      </c>
      <c r="Y551">
        <f t="shared" si="65"/>
        <v>0.1</v>
      </c>
      <c r="Z551">
        <f t="shared" si="66"/>
        <v>10271.529</v>
      </c>
      <c r="AA551">
        <f t="shared" si="67"/>
        <v>1999.2890000000007</v>
      </c>
      <c r="AB551" s="6">
        <f t="shared" si="68"/>
        <v>0.19464375751652949</v>
      </c>
      <c r="AC551" t="str">
        <f t="shared" si="69"/>
        <v>November</v>
      </c>
      <c r="AD551">
        <f t="shared" si="70"/>
        <v>2025</v>
      </c>
      <c r="AE551" t="str">
        <f t="shared" si="71"/>
        <v>Invalid</v>
      </c>
    </row>
    <row r="552" spans="1:31">
      <c r="A552" t="s">
        <v>1747</v>
      </c>
      <c r="B552" s="3">
        <v>45506</v>
      </c>
      <c r="C552" s="3">
        <v>45573</v>
      </c>
      <c r="D552" t="s">
        <v>1748</v>
      </c>
      <c r="E552" t="s">
        <v>36</v>
      </c>
      <c r="F552" t="s">
        <v>95</v>
      </c>
      <c r="G552" t="s">
        <v>38</v>
      </c>
      <c r="H552" t="s">
        <v>39</v>
      </c>
      <c r="I552" t="s">
        <v>40</v>
      </c>
      <c r="J552" t="s">
        <v>74</v>
      </c>
      <c r="K552" t="s">
        <v>75</v>
      </c>
      <c r="L552" t="s">
        <v>1749</v>
      </c>
      <c r="M552" t="s">
        <v>59</v>
      </c>
      <c r="N552">
        <v>6</v>
      </c>
      <c r="O552">
        <v>2126.44</v>
      </c>
      <c r="P552">
        <v>0.2</v>
      </c>
      <c r="Q552">
        <v>10206.91</v>
      </c>
      <c r="R552">
        <v>6764.53</v>
      </c>
      <c r="S552">
        <v>3442.38</v>
      </c>
      <c r="T552" t="s">
        <v>32</v>
      </c>
      <c r="U552" t="s">
        <v>33</v>
      </c>
      <c r="V552">
        <f>IF(OR(B552="Invalid Date",C552="Invalid Date"),"Invalid Date",C552-B552)</f>
        <v>67</v>
      </c>
      <c r="W552" s="4" t="str">
        <f>IF(OR(B552="Invalid Date",C552="Invalid Date"),"Invalid Date",IF(C552&lt;B552,"Invalid Shipping","OK"))</f>
        <v>OK</v>
      </c>
      <c r="X552">
        <f t="shared" si="64"/>
        <v>1</v>
      </c>
      <c r="Y552">
        <f t="shared" si="65"/>
        <v>0.2</v>
      </c>
      <c r="Z552">
        <f t="shared" si="66"/>
        <v>10206.912</v>
      </c>
      <c r="AA552">
        <f t="shared" si="67"/>
        <v>3442.3820000000005</v>
      </c>
      <c r="AB552" s="6">
        <f t="shared" si="68"/>
        <v>0.33725988820125036</v>
      </c>
      <c r="AC552" t="str">
        <f t="shared" si="69"/>
        <v>August</v>
      </c>
      <c r="AD552">
        <f t="shared" si="70"/>
        <v>2024</v>
      </c>
      <c r="AE552" t="str">
        <f t="shared" si="71"/>
        <v>Clean</v>
      </c>
    </row>
    <row r="553" spans="1:31">
      <c r="A553" t="s">
        <v>1750</v>
      </c>
      <c r="B553" s="3">
        <v>45349</v>
      </c>
      <c r="C553" s="3">
        <v>45349</v>
      </c>
      <c r="D553" t="s">
        <v>1751</v>
      </c>
      <c r="E553" t="s">
        <v>132</v>
      </c>
      <c r="F553" t="s">
        <v>24</v>
      </c>
      <c r="G553" t="s">
        <v>38</v>
      </c>
      <c r="H553" t="s">
        <v>228</v>
      </c>
      <c r="I553" t="s">
        <v>229</v>
      </c>
      <c r="J553" t="s">
        <v>41</v>
      </c>
      <c r="K553" t="s">
        <v>66</v>
      </c>
      <c r="L553" t="s">
        <v>1752</v>
      </c>
      <c r="M553" t="s">
        <v>31</v>
      </c>
      <c r="N553">
        <v>3</v>
      </c>
      <c r="O553">
        <v>3148.09</v>
      </c>
      <c r="P553">
        <v>0.15</v>
      </c>
      <c r="Q553">
        <v>8027.63</v>
      </c>
      <c r="R553">
        <v>5496.09</v>
      </c>
      <c r="S553">
        <v>2531.54</v>
      </c>
      <c r="T553" t="s">
        <v>32</v>
      </c>
      <c r="U553" t="s">
        <v>33</v>
      </c>
      <c r="V553">
        <f>IF(OR(B553="Invalid Date",C553="Invalid Date"),"Invalid Date",C553-B553)</f>
        <v>0</v>
      </c>
      <c r="W553" s="4" t="str">
        <f>IF(OR(B553="Invalid Date",C553="Invalid Date"),"Invalid Date",IF(C553&lt;B553,"Invalid Shipping","OK"))</f>
        <v>OK</v>
      </c>
      <c r="X553">
        <f t="shared" si="64"/>
        <v>1</v>
      </c>
      <c r="Y553">
        <f t="shared" si="65"/>
        <v>0.15</v>
      </c>
      <c r="Z553">
        <f t="shared" si="66"/>
        <v>8027.6295</v>
      </c>
      <c r="AA553">
        <f t="shared" si="67"/>
        <v>2531.5394999999999</v>
      </c>
      <c r="AB553" s="6">
        <f t="shared" si="68"/>
        <v>0.31535330572991688</v>
      </c>
      <c r="AC553" t="str">
        <f t="shared" si="69"/>
        <v>February</v>
      </c>
      <c r="AD553">
        <f t="shared" si="70"/>
        <v>2024</v>
      </c>
      <c r="AE553" t="str">
        <f t="shared" si="71"/>
        <v>Clean</v>
      </c>
    </row>
    <row r="554" spans="1:31">
      <c r="A554" t="s">
        <v>1753</v>
      </c>
      <c r="B554" s="3">
        <v>45681</v>
      </c>
      <c r="C554" s="3">
        <v>45687</v>
      </c>
      <c r="D554" t="s">
        <v>1754</v>
      </c>
      <c r="E554" t="s">
        <v>62</v>
      </c>
      <c r="F554" t="s">
        <v>90</v>
      </c>
      <c r="G554" t="s">
        <v>38</v>
      </c>
      <c r="H554" t="s">
        <v>99</v>
      </c>
      <c r="I554" t="s">
        <v>100</v>
      </c>
      <c r="J554" t="s">
        <v>74</v>
      </c>
      <c r="K554" t="s">
        <v>80</v>
      </c>
      <c r="L554" t="s">
        <v>1755</v>
      </c>
      <c r="M554" t="s">
        <v>59</v>
      </c>
      <c r="N554">
        <v>8</v>
      </c>
      <c r="O554">
        <v>312.52999999999997</v>
      </c>
      <c r="P554" t="s">
        <v>463</v>
      </c>
      <c r="Q554">
        <v>1875.18</v>
      </c>
      <c r="R554">
        <v>1579.17</v>
      </c>
      <c r="S554">
        <v>296.01</v>
      </c>
      <c r="T554" t="s">
        <v>32</v>
      </c>
      <c r="U554" t="s">
        <v>33</v>
      </c>
      <c r="V554">
        <f>IF(OR(B554="Invalid Date",C554="Invalid Date"),"Invalid Date",C554-B554)</f>
        <v>6</v>
      </c>
      <c r="W554" s="4" t="str">
        <f>IF(OR(B554="Invalid Date",C554="Invalid Date"),"Invalid Date",IF(C554&lt;B554,"Invalid Shipping","OK"))</f>
        <v>OK</v>
      </c>
      <c r="X554">
        <f t="shared" si="64"/>
        <v>1</v>
      </c>
      <c r="Y554" t="str">
        <f t="shared" si="65"/>
        <v>Invalid</v>
      </c>
      <c r="Z554" t="str">
        <f t="shared" si="66"/>
        <v/>
      </c>
      <c r="AA554" t="str">
        <f t="shared" si="67"/>
        <v/>
      </c>
      <c r="AB554" s="6" t="str">
        <f t="shared" si="68"/>
        <v/>
      </c>
      <c r="AC554" t="str">
        <f t="shared" si="69"/>
        <v>January</v>
      </c>
      <c r="AD554">
        <f t="shared" si="70"/>
        <v>2025</v>
      </c>
      <c r="AE554" t="str">
        <f t="shared" si="71"/>
        <v>Invalid</v>
      </c>
    </row>
    <row r="555" spans="1:31">
      <c r="A555" t="s">
        <v>1756</v>
      </c>
      <c r="B555" s="3" t="s">
        <v>2763</v>
      </c>
      <c r="C555" s="3">
        <v>45775</v>
      </c>
      <c r="D555" t="s">
        <v>1757</v>
      </c>
      <c r="E555" t="s">
        <v>128</v>
      </c>
      <c r="F555" t="s">
        <v>37</v>
      </c>
      <c r="G555" t="s">
        <v>63</v>
      </c>
      <c r="H555" t="s">
        <v>180</v>
      </c>
      <c r="I555" t="s">
        <v>181</v>
      </c>
      <c r="J555" t="s">
        <v>28</v>
      </c>
      <c r="K555" t="s">
        <v>124</v>
      </c>
      <c r="L555" t="s">
        <v>1758</v>
      </c>
      <c r="M555" t="s">
        <v>50</v>
      </c>
      <c r="N555">
        <v>9</v>
      </c>
      <c r="O555">
        <v>1294.1099999999999</v>
      </c>
      <c r="P555">
        <v>0.25</v>
      </c>
      <c r="Q555">
        <v>8735.24</v>
      </c>
      <c r="R555">
        <v>6620.07</v>
      </c>
      <c r="S555">
        <v>2115.17</v>
      </c>
      <c r="T555" t="s">
        <v>32</v>
      </c>
      <c r="U555" t="s">
        <v>33</v>
      </c>
      <c r="V555" t="str">
        <f>IF(OR(B555="Invalid Date",C555="Invalid Date"),"Invalid Date",C555-B555)</f>
        <v>Invalid Date</v>
      </c>
      <c r="W555" s="4" t="str">
        <f>IF(OR(B555="Invalid Date",C555="Invalid Date"),"Invalid Date",IF(C555&lt;B555,"Invalid Shipping","OK"))</f>
        <v>Invalid Date</v>
      </c>
      <c r="X555">
        <f t="shared" si="64"/>
        <v>1</v>
      </c>
      <c r="Y555">
        <f t="shared" si="65"/>
        <v>0.25</v>
      </c>
      <c r="Z555">
        <f t="shared" si="66"/>
        <v>8735.2425000000003</v>
      </c>
      <c r="AA555">
        <f t="shared" si="67"/>
        <v>2115.1725000000006</v>
      </c>
      <c r="AB555" s="6">
        <f t="shared" si="68"/>
        <v>0.24214239043735769</v>
      </c>
      <c r="AC555" t="str">
        <f t="shared" si="69"/>
        <v/>
      </c>
      <c r="AD555" t="str">
        <f t="shared" si="70"/>
        <v/>
      </c>
      <c r="AE555" t="str">
        <f t="shared" si="71"/>
        <v>Invalid</v>
      </c>
    </row>
    <row r="556" spans="1:31">
      <c r="A556" t="s">
        <v>1759</v>
      </c>
      <c r="B556" s="3">
        <v>45577</v>
      </c>
      <c r="C556" s="3">
        <v>45582</v>
      </c>
      <c r="D556" t="s">
        <v>1760</v>
      </c>
      <c r="E556" t="s">
        <v>53</v>
      </c>
      <c r="F556" t="s">
        <v>24</v>
      </c>
      <c r="G556" t="s">
        <v>2767</v>
      </c>
      <c r="H556" t="s">
        <v>228</v>
      </c>
      <c r="I556" t="s">
        <v>229</v>
      </c>
      <c r="J556" t="s">
        <v>41</v>
      </c>
      <c r="K556" t="s">
        <v>57</v>
      </c>
      <c r="L556" t="s">
        <v>1761</v>
      </c>
      <c r="M556" t="s">
        <v>59</v>
      </c>
      <c r="N556">
        <v>4</v>
      </c>
      <c r="O556">
        <v>1071.22</v>
      </c>
      <c r="P556">
        <v>0.05</v>
      </c>
      <c r="Q556">
        <v>4070.64</v>
      </c>
      <c r="R556">
        <v>2831.62</v>
      </c>
      <c r="S556">
        <v>1239.02</v>
      </c>
      <c r="T556" t="s">
        <v>32</v>
      </c>
      <c r="U556" t="s">
        <v>33</v>
      </c>
      <c r="V556">
        <f>IF(OR(B556="Invalid Date",C556="Invalid Date"),"Invalid Date",C556-B556)</f>
        <v>5</v>
      </c>
      <c r="W556" s="4" t="str">
        <f>IF(OR(B556="Invalid Date",C556="Invalid Date"),"Invalid Date",IF(C556&lt;B556,"Invalid Shipping","OK"))</f>
        <v>OK</v>
      </c>
      <c r="X556">
        <f t="shared" si="64"/>
        <v>1</v>
      </c>
      <c r="Y556">
        <f t="shared" si="65"/>
        <v>0.05</v>
      </c>
      <c r="Z556">
        <f t="shared" si="66"/>
        <v>4070.636</v>
      </c>
      <c r="AA556">
        <f t="shared" si="67"/>
        <v>1239.0160000000001</v>
      </c>
      <c r="AB556" s="6">
        <f t="shared" si="68"/>
        <v>0.30437897173807732</v>
      </c>
      <c r="AC556" t="str">
        <f t="shared" si="69"/>
        <v>October</v>
      </c>
      <c r="AD556">
        <f t="shared" si="70"/>
        <v>2024</v>
      </c>
      <c r="AE556" t="str">
        <f t="shared" si="71"/>
        <v>Warning</v>
      </c>
    </row>
    <row r="557" spans="1:31">
      <c r="A557" t="s">
        <v>1762</v>
      </c>
      <c r="B557" s="3">
        <v>45692</v>
      </c>
      <c r="C557" s="3">
        <v>45698</v>
      </c>
      <c r="D557" t="s">
        <v>1763</v>
      </c>
      <c r="E557" t="s">
        <v>62</v>
      </c>
      <c r="F557" t="s">
        <v>37</v>
      </c>
      <c r="G557" t="s">
        <v>54</v>
      </c>
      <c r="H557" t="s">
        <v>55</v>
      </c>
      <c r="I557" t="s">
        <v>56</v>
      </c>
      <c r="J557" t="s">
        <v>28</v>
      </c>
      <c r="K557" t="s">
        <v>124</v>
      </c>
      <c r="L557" t="s">
        <v>1764</v>
      </c>
      <c r="M557" t="s">
        <v>59</v>
      </c>
      <c r="N557">
        <v>6</v>
      </c>
      <c r="O557">
        <v>1042.8</v>
      </c>
      <c r="P557">
        <v>0.05</v>
      </c>
      <c r="Q557">
        <v>5943.96</v>
      </c>
      <c r="R557">
        <v>3604.14</v>
      </c>
      <c r="S557">
        <v>2339.8200000000002</v>
      </c>
      <c r="T557" t="s">
        <v>32</v>
      </c>
      <c r="U557" t="s">
        <v>33</v>
      </c>
      <c r="V557">
        <f>IF(OR(B557="Invalid Date",C557="Invalid Date"),"Invalid Date",C557-B557)</f>
        <v>6</v>
      </c>
      <c r="W557" s="4" t="str">
        <f>IF(OR(B557="Invalid Date",C557="Invalid Date"),"Invalid Date",IF(C557&lt;B557,"Invalid Shipping","OK"))</f>
        <v>OK</v>
      </c>
      <c r="X557">
        <f t="shared" si="64"/>
        <v>1</v>
      </c>
      <c r="Y557">
        <f t="shared" si="65"/>
        <v>0.05</v>
      </c>
      <c r="Z557">
        <f t="shared" si="66"/>
        <v>5943.9599999999991</v>
      </c>
      <c r="AA557">
        <f t="shared" si="67"/>
        <v>2339.8199999999993</v>
      </c>
      <c r="AB557" s="6">
        <f t="shared" si="68"/>
        <v>0.39364665980255581</v>
      </c>
      <c r="AC557" t="str">
        <f t="shared" si="69"/>
        <v>February</v>
      </c>
      <c r="AD557">
        <f t="shared" si="70"/>
        <v>2025</v>
      </c>
      <c r="AE557" t="str">
        <f t="shared" si="71"/>
        <v>Clean</v>
      </c>
    </row>
    <row r="558" spans="1:31">
      <c r="A558" t="s">
        <v>1765</v>
      </c>
      <c r="B558" s="3">
        <v>45466</v>
      </c>
      <c r="C558" s="3">
        <v>45472</v>
      </c>
      <c r="D558" t="s">
        <v>1766</v>
      </c>
      <c r="E558" t="s">
        <v>79</v>
      </c>
      <c r="F558" t="s">
        <v>24</v>
      </c>
      <c r="G558" t="s">
        <v>25</v>
      </c>
      <c r="H558" t="s">
        <v>236</v>
      </c>
      <c r="I558" t="s">
        <v>237</v>
      </c>
      <c r="J558" t="s">
        <v>41</v>
      </c>
      <c r="K558" t="s">
        <v>42</v>
      </c>
      <c r="L558" t="s">
        <v>1767</v>
      </c>
      <c r="M558" t="s">
        <v>50</v>
      </c>
      <c r="N558">
        <v>1</v>
      </c>
      <c r="O558">
        <v>4426.66</v>
      </c>
      <c r="P558">
        <v>0</v>
      </c>
      <c r="Q558">
        <v>4426.66</v>
      </c>
      <c r="R558">
        <v>3035.2</v>
      </c>
      <c r="S558">
        <v>1816.23</v>
      </c>
      <c r="T558" t="s">
        <v>32</v>
      </c>
      <c r="U558" t="s">
        <v>103</v>
      </c>
      <c r="V558">
        <f>IF(OR(B558="Invalid Date",C558="Invalid Date"),"Invalid Date",C558-B558)</f>
        <v>6</v>
      </c>
      <c r="W558" s="4" t="str">
        <f>IF(OR(B558="Invalid Date",C558="Invalid Date"),"Invalid Date",IF(C558&lt;B558,"Invalid Shipping","OK"))</f>
        <v>OK</v>
      </c>
      <c r="X558">
        <f t="shared" si="64"/>
        <v>1</v>
      </c>
      <c r="Y558">
        <f t="shared" si="65"/>
        <v>0</v>
      </c>
      <c r="Z558">
        <f t="shared" si="66"/>
        <v>4426.66</v>
      </c>
      <c r="AA558">
        <f t="shared" si="67"/>
        <v>1391.46</v>
      </c>
      <c r="AB558" s="6">
        <f t="shared" si="68"/>
        <v>0.31433631677156143</v>
      </c>
      <c r="AC558" t="str">
        <f t="shared" si="69"/>
        <v>June</v>
      </c>
      <c r="AD558">
        <f t="shared" si="70"/>
        <v>2024</v>
      </c>
      <c r="AE558" t="str">
        <f t="shared" si="71"/>
        <v>Clean</v>
      </c>
    </row>
    <row r="559" spans="1:31">
      <c r="A559" t="s">
        <v>1768</v>
      </c>
      <c r="B559" s="3">
        <v>45420</v>
      </c>
      <c r="C559" s="3">
        <v>45426</v>
      </c>
      <c r="D559" t="s">
        <v>1769</v>
      </c>
      <c r="E559" t="s">
        <v>71</v>
      </c>
      <c r="F559" t="s">
        <v>95</v>
      </c>
      <c r="G559" t="s">
        <v>25</v>
      </c>
      <c r="H559" t="s">
        <v>236</v>
      </c>
      <c r="I559" t="s">
        <v>237</v>
      </c>
      <c r="J559" t="s">
        <v>74</v>
      </c>
      <c r="K559" t="s">
        <v>171</v>
      </c>
      <c r="L559" t="s">
        <v>1770</v>
      </c>
      <c r="M559" t="s">
        <v>50</v>
      </c>
      <c r="N559">
        <v>9</v>
      </c>
      <c r="O559">
        <v>3769.46</v>
      </c>
      <c r="P559">
        <v>0.05</v>
      </c>
      <c r="Q559">
        <v>32228.880000000001</v>
      </c>
      <c r="R559">
        <v>24971.360000000001</v>
      </c>
      <c r="S559">
        <v>7257.52</v>
      </c>
      <c r="T559" t="s">
        <v>32</v>
      </c>
      <c r="U559" t="s">
        <v>68</v>
      </c>
      <c r="V559">
        <f>IF(OR(B559="Invalid Date",C559="Invalid Date"),"Invalid Date",C559-B559)</f>
        <v>6</v>
      </c>
      <c r="W559" s="4" t="str">
        <f>IF(OR(B559="Invalid Date",C559="Invalid Date"),"Invalid Date",IF(C559&lt;B559,"Invalid Shipping","OK"))</f>
        <v>OK</v>
      </c>
      <c r="X559">
        <f t="shared" si="64"/>
        <v>1</v>
      </c>
      <c r="Y559">
        <f t="shared" si="65"/>
        <v>0.05</v>
      </c>
      <c r="Z559">
        <f t="shared" si="66"/>
        <v>32228.882999999998</v>
      </c>
      <c r="AA559">
        <f t="shared" si="67"/>
        <v>7257.5229999999974</v>
      </c>
      <c r="AB559" s="6">
        <f t="shared" si="68"/>
        <v>0.22518692317074712</v>
      </c>
      <c r="AC559" t="str">
        <f t="shared" si="69"/>
        <v>May</v>
      </c>
      <c r="AD559">
        <f t="shared" si="70"/>
        <v>2024</v>
      </c>
      <c r="AE559" t="str">
        <f t="shared" si="71"/>
        <v>Clean</v>
      </c>
    </row>
    <row r="560" spans="1:31">
      <c r="A560" t="s">
        <v>1771</v>
      </c>
      <c r="B560" s="3">
        <v>45904</v>
      </c>
      <c r="C560" s="3">
        <v>45756</v>
      </c>
      <c r="D560" t="s">
        <v>1772</v>
      </c>
      <c r="E560" t="s">
        <v>89</v>
      </c>
      <c r="F560" t="s">
        <v>90</v>
      </c>
      <c r="G560" t="s">
        <v>25</v>
      </c>
      <c r="H560" t="s">
        <v>122</v>
      </c>
      <c r="I560" t="s">
        <v>123</v>
      </c>
      <c r="J560" t="s">
        <v>74</v>
      </c>
      <c r="K560" t="s">
        <v>274</v>
      </c>
      <c r="L560" t="s">
        <v>1773</v>
      </c>
      <c r="M560" t="s">
        <v>50</v>
      </c>
      <c r="N560">
        <v>8</v>
      </c>
      <c r="O560">
        <v>3079.95</v>
      </c>
      <c r="P560">
        <v>0.2</v>
      </c>
      <c r="Q560">
        <v>19711.68</v>
      </c>
      <c r="R560">
        <v>14461.8</v>
      </c>
      <c r="S560">
        <v>5249.88</v>
      </c>
      <c r="T560" t="s">
        <v>32</v>
      </c>
      <c r="U560" t="s">
        <v>33</v>
      </c>
      <c r="V560">
        <f>IF(OR(B560="Invalid Date",C560="Invalid Date"),"Invalid Date",C560-B560)</f>
        <v>-148</v>
      </c>
      <c r="W560" s="4" t="str">
        <f>IF(OR(B560="Invalid Date",C560="Invalid Date"),"Invalid Date",IF(C560&lt;B560,"Invalid Shipping","OK"))</f>
        <v>Invalid Shipping</v>
      </c>
      <c r="X560">
        <f t="shared" si="64"/>
        <v>1</v>
      </c>
      <c r="Y560">
        <f t="shared" si="65"/>
        <v>0.2</v>
      </c>
      <c r="Z560">
        <f t="shared" si="66"/>
        <v>19711.68</v>
      </c>
      <c r="AA560">
        <f t="shared" si="67"/>
        <v>5249.880000000001</v>
      </c>
      <c r="AB560" s="6">
        <f t="shared" si="68"/>
        <v>0.26633346320557155</v>
      </c>
      <c r="AC560" t="str">
        <f t="shared" si="69"/>
        <v>September</v>
      </c>
      <c r="AD560">
        <f t="shared" si="70"/>
        <v>2025</v>
      </c>
      <c r="AE560" t="str">
        <f t="shared" si="71"/>
        <v>Invalid</v>
      </c>
    </row>
    <row r="561" spans="1:31">
      <c r="A561" t="s">
        <v>1774</v>
      </c>
      <c r="B561" s="3">
        <v>45930</v>
      </c>
      <c r="C561" s="3">
        <v>45937</v>
      </c>
      <c r="D561" t="s">
        <v>1775</v>
      </c>
      <c r="E561" t="s">
        <v>162</v>
      </c>
      <c r="F561" t="s">
        <v>90</v>
      </c>
      <c r="G561" t="s">
        <v>38</v>
      </c>
      <c r="H561" t="s">
        <v>145</v>
      </c>
      <c r="I561" t="s">
        <v>146</v>
      </c>
      <c r="J561" t="s">
        <v>74</v>
      </c>
      <c r="K561" t="s">
        <v>80</v>
      </c>
      <c r="L561" t="s">
        <v>1776</v>
      </c>
      <c r="M561" t="s">
        <v>31</v>
      </c>
      <c r="N561">
        <v>5</v>
      </c>
      <c r="O561">
        <v>3277.82</v>
      </c>
      <c r="P561">
        <v>0.1</v>
      </c>
      <c r="Q561">
        <v>14750.19</v>
      </c>
      <c r="R561">
        <v>9482.58</v>
      </c>
      <c r="S561">
        <v>5267.61</v>
      </c>
      <c r="T561" t="s">
        <v>32</v>
      </c>
      <c r="U561" t="s">
        <v>103</v>
      </c>
      <c r="V561">
        <f>IF(OR(B561="Invalid Date",C561="Invalid Date"),"Invalid Date",C561-B561)</f>
        <v>7</v>
      </c>
      <c r="W561" s="4" t="str">
        <f>IF(OR(B561="Invalid Date",C561="Invalid Date"),"Invalid Date",IF(C561&lt;B561,"Invalid Shipping","OK"))</f>
        <v>OK</v>
      </c>
      <c r="X561">
        <f t="shared" si="64"/>
        <v>1</v>
      </c>
      <c r="Y561">
        <f t="shared" si="65"/>
        <v>0.1</v>
      </c>
      <c r="Z561">
        <f t="shared" si="66"/>
        <v>14750.190000000002</v>
      </c>
      <c r="AA561">
        <f t="shared" si="67"/>
        <v>5267.6100000000024</v>
      </c>
      <c r="AB561" s="6">
        <f t="shared" si="68"/>
        <v>0.35712150148574368</v>
      </c>
      <c r="AC561" t="str">
        <f t="shared" si="69"/>
        <v>September</v>
      </c>
      <c r="AD561">
        <f t="shared" si="70"/>
        <v>2025</v>
      </c>
      <c r="AE561" t="str">
        <f t="shared" si="71"/>
        <v>Clean</v>
      </c>
    </row>
    <row r="562" spans="1:31">
      <c r="A562" t="s">
        <v>1777</v>
      </c>
      <c r="B562" s="3">
        <v>45307</v>
      </c>
      <c r="C562" s="3">
        <v>45313</v>
      </c>
      <c r="D562" t="s">
        <v>1778</v>
      </c>
      <c r="E562" t="s">
        <v>53</v>
      </c>
      <c r="F562" t="s">
        <v>24</v>
      </c>
      <c r="G562" t="s">
        <v>63</v>
      </c>
      <c r="H562" t="s">
        <v>190</v>
      </c>
      <c r="I562" t="s">
        <v>191</v>
      </c>
      <c r="J562" t="s">
        <v>28</v>
      </c>
      <c r="K562" t="s">
        <v>124</v>
      </c>
      <c r="L562" t="s">
        <v>1779</v>
      </c>
      <c r="M562" t="s">
        <v>59</v>
      </c>
      <c r="N562">
        <v>4</v>
      </c>
      <c r="O562">
        <v>282.52999999999997</v>
      </c>
      <c r="P562">
        <v>0</v>
      </c>
      <c r="Q562">
        <v>1130.1199999999999</v>
      </c>
      <c r="R562">
        <v>848.62</v>
      </c>
      <c r="S562">
        <v>281.5</v>
      </c>
      <c r="T562" t="s">
        <v>32</v>
      </c>
      <c r="U562" t="s">
        <v>68</v>
      </c>
      <c r="V562">
        <f>IF(OR(B562="Invalid Date",C562="Invalid Date"),"Invalid Date",C562-B562)</f>
        <v>6</v>
      </c>
      <c r="W562" s="4" t="str">
        <f>IF(OR(B562="Invalid Date",C562="Invalid Date"),"Invalid Date",IF(C562&lt;B562,"Invalid Shipping","OK"))</f>
        <v>OK</v>
      </c>
      <c r="X562">
        <f t="shared" si="64"/>
        <v>1</v>
      </c>
      <c r="Y562">
        <f t="shared" si="65"/>
        <v>0</v>
      </c>
      <c r="Z562">
        <f t="shared" si="66"/>
        <v>1130.1199999999999</v>
      </c>
      <c r="AA562">
        <f t="shared" si="67"/>
        <v>281.49999999999989</v>
      </c>
      <c r="AB562" s="6">
        <f t="shared" si="68"/>
        <v>0.249088592361873</v>
      </c>
      <c r="AC562" t="str">
        <f t="shared" si="69"/>
        <v>January</v>
      </c>
      <c r="AD562">
        <f t="shared" si="70"/>
        <v>2024</v>
      </c>
      <c r="AE562" t="str">
        <f t="shared" si="71"/>
        <v>Clean</v>
      </c>
    </row>
    <row r="563" spans="1:31">
      <c r="A563" t="s">
        <v>1780</v>
      </c>
      <c r="B563" s="3">
        <v>45852</v>
      </c>
      <c r="C563" s="3">
        <v>45856</v>
      </c>
      <c r="D563" t="s">
        <v>1781</v>
      </c>
      <c r="E563" t="s">
        <v>89</v>
      </c>
      <c r="F563" t="s">
        <v>24</v>
      </c>
      <c r="G563" t="s">
        <v>25</v>
      </c>
      <c r="H563" t="s">
        <v>122</v>
      </c>
      <c r="I563" t="s">
        <v>123</v>
      </c>
      <c r="J563" t="s">
        <v>74</v>
      </c>
      <c r="K563" t="s">
        <v>80</v>
      </c>
      <c r="L563" t="s">
        <v>1782</v>
      </c>
      <c r="M563" t="s">
        <v>50</v>
      </c>
      <c r="N563">
        <v>4</v>
      </c>
      <c r="O563">
        <v>725.22</v>
      </c>
      <c r="P563">
        <v>0</v>
      </c>
      <c r="Q563">
        <v>2900.88</v>
      </c>
      <c r="R563">
        <v>2391.85</v>
      </c>
      <c r="S563">
        <v>509.03</v>
      </c>
      <c r="T563" t="s">
        <v>111</v>
      </c>
      <c r="U563" t="s">
        <v>103</v>
      </c>
      <c r="V563">
        <f>IF(OR(B563="Invalid Date",C563="Invalid Date"),"Invalid Date",C563-B563)</f>
        <v>4</v>
      </c>
      <c r="W563" s="4" t="str">
        <f>IF(OR(B563="Invalid Date",C563="Invalid Date"),"Invalid Date",IF(C563&lt;B563,"Invalid Shipping","OK"))</f>
        <v>OK</v>
      </c>
      <c r="X563">
        <f t="shared" si="64"/>
        <v>1</v>
      </c>
      <c r="Y563">
        <f t="shared" si="65"/>
        <v>0</v>
      </c>
      <c r="Z563">
        <f t="shared" si="66"/>
        <v>2900.88</v>
      </c>
      <c r="AA563">
        <f t="shared" si="67"/>
        <v>509.0300000000002</v>
      </c>
      <c r="AB563" s="6">
        <f t="shared" si="68"/>
        <v>0.17547433882132324</v>
      </c>
      <c r="AC563" t="str">
        <f t="shared" si="69"/>
        <v>July</v>
      </c>
      <c r="AD563">
        <f t="shared" si="70"/>
        <v>2025</v>
      </c>
      <c r="AE563" t="str">
        <f t="shared" si="71"/>
        <v>Clean</v>
      </c>
    </row>
    <row r="564" spans="1:31">
      <c r="A564" t="s">
        <v>1783</v>
      </c>
      <c r="B564" s="3">
        <v>45422</v>
      </c>
      <c r="C564" s="3">
        <v>45428</v>
      </c>
      <c r="D564" t="s">
        <v>1784</v>
      </c>
      <c r="E564" t="s">
        <v>23</v>
      </c>
      <c r="F564" t="s">
        <v>24</v>
      </c>
      <c r="G564" t="s">
        <v>25</v>
      </c>
      <c r="H564" t="s">
        <v>122</v>
      </c>
      <c r="I564" t="s">
        <v>123</v>
      </c>
      <c r="J564" t="s">
        <v>28</v>
      </c>
      <c r="K564" t="s">
        <v>153</v>
      </c>
      <c r="L564" t="s">
        <v>1785</v>
      </c>
      <c r="M564" t="s">
        <v>44</v>
      </c>
      <c r="N564">
        <v>7</v>
      </c>
      <c r="O564">
        <v>121.54</v>
      </c>
      <c r="P564">
        <v>0.2</v>
      </c>
      <c r="Q564">
        <v>680.62</v>
      </c>
      <c r="R564">
        <v>463.49</v>
      </c>
      <c r="S564">
        <v>217.13</v>
      </c>
      <c r="T564" t="s">
        <v>155</v>
      </c>
      <c r="U564" t="s">
        <v>103</v>
      </c>
      <c r="V564">
        <f>IF(OR(B564="Invalid Date",C564="Invalid Date"),"Invalid Date",C564-B564)</f>
        <v>6</v>
      </c>
      <c r="W564" s="4" t="str">
        <f>IF(OR(B564="Invalid Date",C564="Invalid Date"),"Invalid Date",IF(C564&lt;B564,"Invalid Shipping","OK"))</f>
        <v>OK</v>
      </c>
      <c r="X564">
        <f t="shared" si="64"/>
        <v>1</v>
      </c>
      <c r="Y564">
        <f t="shared" si="65"/>
        <v>0.2</v>
      </c>
      <c r="Z564">
        <f t="shared" si="66"/>
        <v>680.62400000000014</v>
      </c>
      <c r="AA564">
        <f t="shared" si="67"/>
        <v>217.13400000000013</v>
      </c>
      <c r="AB564" s="6">
        <f t="shared" si="68"/>
        <v>0.31902195632243363</v>
      </c>
      <c r="AC564" t="str">
        <f t="shared" si="69"/>
        <v>May</v>
      </c>
      <c r="AD564">
        <f t="shared" si="70"/>
        <v>2024</v>
      </c>
      <c r="AE564" t="str">
        <f t="shared" si="71"/>
        <v>Clean</v>
      </c>
    </row>
    <row r="565" spans="1:31">
      <c r="A565" t="s">
        <v>1786</v>
      </c>
      <c r="B565" s="3">
        <v>45448</v>
      </c>
      <c r="C565" s="3">
        <v>45424</v>
      </c>
      <c r="D565" t="s">
        <v>1787</v>
      </c>
      <c r="E565" t="s">
        <v>53</v>
      </c>
      <c r="F565" t="s">
        <v>90</v>
      </c>
      <c r="G565" t="s">
        <v>63</v>
      </c>
      <c r="H565" t="s">
        <v>190</v>
      </c>
      <c r="I565" t="s">
        <v>191</v>
      </c>
      <c r="J565" t="s">
        <v>41</v>
      </c>
      <c r="K565" t="s">
        <v>42</v>
      </c>
      <c r="L565" t="s">
        <v>1788</v>
      </c>
      <c r="M565" t="s">
        <v>59</v>
      </c>
      <c r="N565">
        <v>9</v>
      </c>
      <c r="O565">
        <v>790.97</v>
      </c>
      <c r="P565">
        <v>0.2</v>
      </c>
      <c r="Q565">
        <v>5694.98</v>
      </c>
      <c r="R565">
        <v>4618.33</v>
      </c>
      <c r="S565">
        <v>1076.6500000000001</v>
      </c>
      <c r="T565" t="s">
        <v>111</v>
      </c>
      <c r="U565" t="s">
        <v>68</v>
      </c>
      <c r="V565">
        <f>IF(OR(B565="Invalid Date",C565="Invalid Date"),"Invalid Date",C565-B565)</f>
        <v>-24</v>
      </c>
      <c r="W565" s="4" t="str">
        <f>IF(OR(B565="Invalid Date",C565="Invalid Date"),"Invalid Date",IF(C565&lt;B565,"Invalid Shipping","OK"))</f>
        <v>Invalid Shipping</v>
      </c>
      <c r="X565">
        <f t="shared" si="64"/>
        <v>1</v>
      </c>
      <c r="Y565">
        <f t="shared" si="65"/>
        <v>0.2</v>
      </c>
      <c r="Z565">
        <f t="shared" si="66"/>
        <v>5694.9840000000004</v>
      </c>
      <c r="AA565">
        <f t="shared" si="67"/>
        <v>1076.6540000000005</v>
      </c>
      <c r="AB565" s="6">
        <f t="shared" si="68"/>
        <v>0.1890530333360024</v>
      </c>
      <c r="AC565" t="str">
        <f t="shared" si="69"/>
        <v>June</v>
      </c>
      <c r="AD565">
        <f t="shared" si="70"/>
        <v>2024</v>
      </c>
      <c r="AE565" t="str">
        <f t="shared" si="71"/>
        <v>Invalid</v>
      </c>
    </row>
    <row r="566" spans="1:31">
      <c r="A566" t="s">
        <v>1789</v>
      </c>
      <c r="B566" s="3">
        <v>45576</v>
      </c>
      <c r="C566" s="3">
        <v>45610</v>
      </c>
      <c r="D566" t="s">
        <v>1790</v>
      </c>
      <c r="E566" t="s">
        <v>132</v>
      </c>
      <c r="F566" t="s">
        <v>90</v>
      </c>
      <c r="G566" t="s">
        <v>54</v>
      </c>
      <c r="H566" t="s">
        <v>84</v>
      </c>
      <c r="I566" t="s">
        <v>85</v>
      </c>
      <c r="J566" t="s">
        <v>41</v>
      </c>
      <c r="K566" t="s">
        <v>42</v>
      </c>
      <c r="L566" t="s">
        <v>1791</v>
      </c>
      <c r="M566" t="s">
        <v>50</v>
      </c>
      <c r="N566">
        <v>2</v>
      </c>
      <c r="O566">
        <v>921.34</v>
      </c>
      <c r="P566">
        <v>0.2</v>
      </c>
      <c r="Q566">
        <v>1474.14</v>
      </c>
      <c r="R566">
        <v>968.46</v>
      </c>
      <c r="S566">
        <v>505.68</v>
      </c>
      <c r="T566" t="s">
        <v>32</v>
      </c>
      <c r="U566" t="s">
        <v>33</v>
      </c>
      <c r="V566">
        <f>IF(OR(B566="Invalid Date",C566="Invalid Date"),"Invalid Date",C566-B566)</f>
        <v>34</v>
      </c>
      <c r="W566" s="4" t="str">
        <f>IF(OR(B566="Invalid Date",C566="Invalid Date"),"Invalid Date",IF(C566&lt;B566,"Invalid Shipping","OK"))</f>
        <v>OK</v>
      </c>
      <c r="X566">
        <f t="shared" si="64"/>
        <v>1</v>
      </c>
      <c r="Y566">
        <f t="shared" si="65"/>
        <v>0.2</v>
      </c>
      <c r="Z566">
        <f t="shared" si="66"/>
        <v>1474.1440000000002</v>
      </c>
      <c r="AA566">
        <f t="shared" si="67"/>
        <v>505.6840000000002</v>
      </c>
      <c r="AB566" s="6">
        <f t="shared" si="68"/>
        <v>0.34303568715132315</v>
      </c>
      <c r="AC566" t="str">
        <f t="shared" si="69"/>
        <v>October</v>
      </c>
      <c r="AD566">
        <f t="shared" si="70"/>
        <v>2024</v>
      </c>
      <c r="AE566" t="str">
        <f t="shared" si="71"/>
        <v>Clean</v>
      </c>
    </row>
    <row r="567" spans="1:31">
      <c r="A567" t="s">
        <v>1792</v>
      </c>
      <c r="B567" s="3">
        <v>45876</v>
      </c>
      <c r="C567" s="3">
        <v>45882</v>
      </c>
      <c r="D567" t="s">
        <v>1793</v>
      </c>
      <c r="E567" t="s">
        <v>36</v>
      </c>
      <c r="F567" t="s">
        <v>90</v>
      </c>
      <c r="G567" t="s">
        <v>25</v>
      </c>
      <c r="H567" t="s">
        <v>350</v>
      </c>
      <c r="I567" t="s">
        <v>351</v>
      </c>
      <c r="J567" t="s">
        <v>74</v>
      </c>
      <c r="K567" t="s">
        <v>171</v>
      </c>
      <c r="L567" t="s">
        <v>1794</v>
      </c>
      <c r="M567" t="s">
        <v>59</v>
      </c>
      <c r="N567">
        <v>6</v>
      </c>
      <c r="O567">
        <v>1921.86</v>
      </c>
      <c r="P567">
        <v>0.2</v>
      </c>
      <c r="Q567">
        <v>9224.93</v>
      </c>
      <c r="R567">
        <v>7005.2</v>
      </c>
      <c r="S567">
        <v>2219.73</v>
      </c>
      <c r="T567" t="s">
        <v>102</v>
      </c>
      <c r="U567" t="s">
        <v>68</v>
      </c>
      <c r="V567">
        <f>IF(OR(B567="Invalid Date",C567="Invalid Date"),"Invalid Date",C567-B567)</f>
        <v>6</v>
      </c>
      <c r="W567" s="4" t="str">
        <f>IF(OR(B567="Invalid Date",C567="Invalid Date"),"Invalid Date",IF(C567&lt;B567,"Invalid Shipping","OK"))</f>
        <v>OK</v>
      </c>
      <c r="X567">
        <f t="shared" si="64"/>
        <v>1</v>
      </c>
      <c r="Y567">
        <f t="shared" si="65"/>
        <v>0.2</v>
      </c>
      <c r="Z567">
        <f t="shared" si="66"/>
        <v>9224.9279999999999</v>
      </c>
      <c r="AA567">
        <f t="shared" si="67"/>
        <v>2219.7280000000001</v>
      </c>
      <c r="AB567" s="6">
        <f t="shared" si="68"/>
        <v>0.24062279944081949</v>
      </c>
      <c r="AC567" t="str">
        <f t="shared" si="69"/>
        <v>August</v>
      </c>
      <c r="AD567">
        <f t="shared" si="70"/>
        <v>2025</v>
      </c>
      <c r="AE567" t="str">
        <f t="shared" si="71"/>
        <v>Clean</v>
      </c>
    </row>
    <row r="568" spans="1:31">
      <c r="A568" t="s">
        <v>1795</v>
      </c>
      <c r="B568" s="3">
        <v>45515</v>
      </c>
      <c r="C568" s="3">
        <v>45523</v>
      </c>
      <c r="D568" t="s">
        <v>1796</v>
      </c>
      <c r="E568" t="s">
        <v>132</v>
      </c>
      <c r="F568" t="s">
        <v>37</v>
      </c>
      <c r="G568" t="s">
        <v>63</v>
      </c>
      <c r="H568" t="s">
        <v>64</v>
      </c>
      <c r="I568" t="s">
        <v>65</v>
      </c>
      <c r="J568" t="s">
        <v>28</v>
      </c>
      <c r="K568" t="s">
        <v>29</v>
      </c>
      <c r="L568" t="s">
        <v>1797</v>
      </c>
      <c r="M568" t="s">
        <v>44</v>
      </c>
      <c r="N568">
        <v>2</v>
      </c>
      <c r="O568">
        <v>2617.89</v>
      </c>
      <c r="P568">
        <v>0.1</v>
      </c>
      <c r="Q568">
        <v>4712.2</v>
      </c>
      <c r="R568">
        <v>3851.91</v>
      </c>
      <c r="S568">
        <v>860.29</v>
      </c>
      <c r="T568" t="s">
        <v>155</v>
      </c>
      <c r="U568" t="s">
        <v>103</v>
      </c>
      <c r="V568">
        <f>IF(OR(B568="Invalid Date",C568="Invalid Date"),"Invalid Date",C568-B568)</f>
        <v>8</v>
      </c>
      <c r="W568" s="4" t="str">
        <f>IF(OR(B568="Invalid Date",C568="Invalid Date"),"Invalid Date",IF(C568&lt;B568,"Invalid Shipping","OK"))</f>
        <v>OK</v>
      </c>
      <c r="X568">
        <f t="shared" si="64"/>
        <v>1</v>
      </c>
      <c r="Y568">
        <f t="shared" si="65"/>
        <v>0.1</v>
      </c>
      <c r="Z568">
        <f t="shared" si="66"/>
        <v>4712.2020000000002</v>
      </c>
      <c r="AA568">
        <f t="shared" si="67"/>
        <v>860.29200000000037</v>
      </c>
      <c r="AB568" s="6">
        <f t="shared" si="68"/>
        <v>0.18256687637754077</v>
      </c>
      <c r="AC568" t="str">
        <f t="shared" si="69"/>
        <v>August</v>
      </c>
      <c r="AD568">
        <f t="shared" si="70"/>
        <v>2024</v>
      </c>
      <c r="AE568" t="str">
        <f t="shared" si="71"/>
        <v>Clean</v>
      </c>
    </row>
    <row r="569" spans="1:31">
      <c r="A569" t="s">
        <v>1798</v>
      </c>
      <c r="B569" s="3">
        <v>45328</v>
      </c>
      <c r="C569" s="3">
        <v>45332</v>
      </c>
      <c r="D569" t="s">
        <v>1799</v>
      </c>
      <c r="E569" t="s">
        <v>53</v>
      </c>
      <c r="F569" t="s">
        <v>95</v>
      </c>
      <c r="G569" t="s">
        <v>25</v>
      </c>
      <c r="H569" t="s">
        <v>136</v>
      </c>
      <c r="I569" t="s">
        <v>137</v>
      </c>
      <c r="J569" t="s">
        <v>41</v>
      </c>
      <c r="K569" t="s">
        <v>57</v>
      </c>
      <c r="L569" t="s">
        <v>597</v>
      </c>
      <c r="M569" t="s">
        <v>44</v>
      </c>
      <c r="N569">
        <v>1</v>
      </c>
      <c r="O569">
        <v>1374.06</v>
      </c>
      <c r="P569">
        <v>0.05</v>
      </c>
      <c r="Q569">
        <v>1305.3599999999999</v>
      </c>
      <c r="R569">
        <v>731.89</v>
      </c>
      <c r="S569">
        <v>573.47</v>
      </c>
      <c r="T569" t="s">
        <v>32</v>
      </c>
      <c r="U569" t="s">
        <v>33</v>
      </c>
      <c r="V569">
        <f>IF(OR(B569="Invalid Date",C569="Invalid Date"),"Invalid Date",C569-B569)</f>
        <v>4</v>
      </c>
      <c r="W569" s="4" t="str">
        <f>IF(OR(B569="Invalid Date",C569="Invalid Date"),"Invalid Date",IF(C569&lt;B569,"Invalid Shipping","OK"))</f>
        <v>OK</v>
      </c>
      <c r="X569">
        <f t="shared" si="64"/>
        <v>1</v>
      </c>
      <c r="Y569">
        <f t="shared" si="65"/>
        <v>0.05</v>
      </c>
      <c r="Z569">
        <f t="shared" si="66"/>
        <v>1305.357</v>
      </c>
      <c r="AA569">
        <f t="shared" si="67"/>
        <v>573.46699999999998</v>
      </c>
      <c r="AB569" s="6">
        <f t="shared" si="68"/>
        <v>0.4393181328939133</v>
      </c>
      <c r="AC569" t="str">
        <f t="shared" si="69"/>
        <v>February</v>
      </c>
      <c r="AD569">
        <f t="shared" si="70"/>
        <v>2024</v>
      </c>
      <c r="AE569" t="str">
        <f t="shared" si="71"/>
        <v>Clean</v>
      </c>
    </row>
    <row r="570" spans="1:31">
      <c r="A570" t="s">
        <v>1800</v>
      </c>
      <c r="B570" s="3">
        <v>45312</v>
      </c>
      <c r="C570" s="3">
        <v>45315</v>
      </c>
      <c r="D570" t="s">
        <v>1801</v>
      </c>
      <c r="E570" t="s">
        <v>264</v>
      </c>
      <c r="F570" t="s">
        <v>90</v>
      </c>
      <c r="G570" t="s">
        <v>25</v>
      </c>
      <c r="H570" t="s">
        <v>122</v>
      </c>
      <c r="I570" t="s">
        <v>123</v>
      </c>
      <c r="J570" t="s">
        <v>74</v>
      </c>
      <c r="K570" t="s">
        <v>274</v>
      </c>
      <c r="L570" t="s">
        <v>1802</v>
      </c>
      <c r="M570" t="s">
        <v>44</v>
      </c>
      <c r="N570">
        <v>1</v>
      </c>
      <c r="O570">
        <v>3806.3</v>
      </c>
      <c r="P570">
        <v>0.25</v>
      </c>
      <c r="Q570">
        <v>2854.73</v>
      </c>
      <c r="R570">
        <v>1968.12</v>
      </c>
      <c r="S570">
        <v>886.61</v>
      </c>
      <c r="T570" t="s">
        <v>32</v>
      </c>
      <c r="U570" t="s">
        <v>33</v>
      </c>
      <c r="V570">
        <f>IF(OR(B570="Invalid Date",C570="Invalid Date"),"Invalid Date",C570-B570)</f>
        <v>3</v>
      </c>
      <c r="W570" s="4" t="str">
        <f>IF(OR(B570="Invalid Date",C570="Invalid Date"),"Invalid Date",IF(C570&lt;B570,"Invalid Shipping","OK"))</f>
        <v>OK</v>
      </c>
      <c r="X570">
        <f t="shared" si="64"/>
        <v>1</v>
      </c>
      <c r="Y570">
        <f t="shared" si="65"/>
        <v>0.25</v>
      </c>
      <c r="Z570">
        <f t="shared" si="66"/>
        <v>2854.7250000000004</v>
      </c>
      <c r="AA570">
        <f t="shared" si="67"/>
        <v>886.60500000000047</v>
      </c>
      <c r="AB570" s="6">
        <f t="shared" si="68"/>
        <v>0.31057457373302172</v>
      </c>
      <c r="AC570" t="str">
        <f t="shared" si="69"/>
        <v>January</v>
      </c>
      <c r="AD570">
        <f t="shared" si="70"/>
        <v>2024</v>
      </c>
      <c r="AE570" t="str">
        <f t="shared" si="71"/>
        <v>Clean</v>
      </c>
    </row>
    <row r="571" spans="1:31">
      <c r="A571" t="s">
        <v>1803</v>
      </c>
      <c r="B571" s="3">
        <v>45878</v>
      </c>
      <c r="C571" s="3">
        <v>45910</v>
      </c>
      <c r="D571" t="s">
        <v>1804</v>
      </c>
      <c r="E571" t="s">
        <v>118</v>
      </c>
      <c r="F571" t="s">
        <v>95</v>
      </c>
      <c r="G571" t="s">
        <v>63</v>
      </c>
      <c r="H571" t="s">
        <v>64</v>
      </c>
      <c r="I571" t="s">
        <v>65</v>
      </c>
      <c r="J571" t="s">
        <v>41</v>
      </c>
      <c r="K571" t="s">
        <v>57</v>
      </c>
      <c r="L571" t="s">
        <v>1805</v>
      </c>
      <c r="M571" t="s">
        <v>59</v>
      </c>
      <c r="N571">
        <v>6</v>
      </c>
      <c r="O571">
        <v>3251.17</v>
      </c>
      <c r="P571">
        <v>0.25</v>
      </c>
      <c r="Q571">
        <v>14630.26</v>
      </c>
      <c r="R571">
        <v>11906.36</v>
      </c>
      <c r="S571">
        <v>2723.9</v>
      </c>
      <c r="T571" t="s">
        <v>102</v>
      </c>
      <c r="U571" t="s">
        <v>103</v>
      </c>
      <c r="V571">
        <f>IF(OR(B571="Invalid Date",C571="Invalid Date"),"Invalid Date",C571-B571)</f>
        <v>32</v>
      </c>
      <c r="W571" s="4" t="str">
        <f>IF(OR(B571="Invalid Date",C571="Invalid Date"),"Invalid Date",IF(C571&lt;B571,"Invalid Shipping","OK"))</f>
        <v>OK</v>
      </c>
      <c r="X571">
        <f t="shared" si="64"/>
        <v>1</v>
      </c>
      <c r="Y571">
        <f t="shared" si="65"/>
        <v>0.25</v>
      </c>
      <c r="Z571">
        <f t="shared" si="66"/>
        <v>14630.264999999999</v>
      </c>
      <c r="AA571">
        <f t="shared" si="67"/>
        <v>2723.9049999999988</v>
      </c>
      <c r="AB571" s="6">
        <f t="shared" si="68"/>
        <v>0.18618288868998606</v>
      </c>
      <c r="AC571" t="str">
        <f t="shared" si="69"/>
        <v>August</v>
      </c>
      <c r="AD571">
        <f t="shared" si="70"/>
        <v>2025</v>
      </c>
      <c r="AE571" t="str">
        <f t="shared" si="71"/>
        <v>Clean</v>
      </c>
    </row>
    <row r="572" spans="1:31">
      <c r="A572" t="s">
        <v>1806</v>
      </c>
      <c r="B572" s="3">
        <v>45887</v>
      </c>
      <c r="C572" s="3" t="s">
        <v>2763</v>
      </c>
      <c r="D572" t="s">
        <v>1807</v>
      </c>
      <c r="E572" t="s">
        <v>53</v>
      </c>
      <c r="F572" t="s">
        <v>24</v>
      </c>
      <c r="G572" t="s">
        <v>38</v>
      </c>
      <c r="H572" t="s">
        <v>228</v>
      </c>
      <c r="I572" t="s">
        <v>229</v>
      </c>
      <c r="J572" t="s">
        <v>41</v>
      </c>
      <c r="K572" t="s">
        <v>57</v>
      </c>
      <c r="L572" t="s">
        <v>1808</v>
      </c>
      <c r="M572" t="s">
        <v>31</v>
      </c>
      <c r="N572">
        <v>3</v>
      </c>
      <c r="O572">
        <v>3946.44</v>
      </c>
      <c r="P572">
        <v>0.25</v>
      </c>
      <c r="Q572">
        <v>8879.49</v>
      </c>
      <c r="R572">
        <v>6344.57</v>
      </c>
      <c r="S572">
        <v>2534.92</v>
      </c>
      <c r="T572" t="s">
        <v>155</v>
      </c>
      <c r="U572" t="s">
        <v>103</v>
      </c>
      <c r="V572" t="str">
        <f>IF(OR(B572="Invalid Date",C572="Invalid Date"),"Invalid Date",C572-B572)</f>
        <v>Invalid Date</v>
      </c>
      <c r="W572" s="4" t="str">
        <f>IF(OR(B572="Invalid Date",C572="Invalid Date"),"Invalid Date",IF(C572&lt;B572,"Invalid Shipping","OK"))</f>
        <v>Invalid Date</v>
      </c>
      <c r="X572">
        <f t="shared" si="64"/>
        <v>1</v>
      </c>
      <c r="Y572">
        <f t="shared" si="65"/>
        <v>0.25</v>
      </c>
      <c r="Z572">
        <f t="shared" si="66"/>
        <v>8879.49</v>
      </c>
      <c r="AA572">
        <f t="shared" si="67"/>
        <v>2534.92</v>
      </c>
      <c r="AB572" s="6">
        <f t="shared" si="68"/>
        <v>0.28548035979543873</v>
      </c>
      <c r="AC572" t="str">
        <f t="shared" si="69"/>
        <v>August</v>
      </c>
      <c r="AD572">
        <f t="shared" si="70"/>
        <v>2025</v>
      </c>
      <c r="AE572" t="str">
        <f t="shared" si="71"/>
        <v>Invalid</v>
      </c>
    </row>
    <row r="573" spans="1:31">
      <c r="A573" t="s">
        <v>1809</v>
      </c>
      <c r="B573" s="3">
        <v>45698</v>
      </c>
      <c r="C573" s="3">
        <v>45702</v>
      </c>
      <c r="D573" t="s">
        <v>1810</v>
      </c>
      <c r="E573" t="s">
        <v>114</v>
      </c>
      <c r="F573" t="s">
        <v>37</v>
      </c>
      <c r="G573" t="s">
        <v>25</v>
      </c>
      <c r="H573" t="s">
        <v>136</v>
      </c>
      <c r="I573" t="s">
        <v>137</v>
      </c>
      <c r="J573" t="s">
        <v>74</v>
      </c>
      <c r="K573" t="s">
        <v>171</v>
      </c>
      <c r="L573" t="s">
        <v>1811</v>
      </c>
      <c r="M573" t="s">
        <v>2767</v>
      </c>
      <c r="N573">
        <v>5</v>
      </c>
      <c r="O573">
        <v>4276.29</v>
      </c>
      <c r="P573">
        <v>0</v>
      </c>
      <c r="Q573">
        <v>21381.45</v>
      </c>
      <c r="R573">
        <v>13240.21</v>
      </c>
      <c r="S573">
        <v>8141.24</v>
      </c>
      <c r="T573" t="s">
        <v>155</v>
      </c>
      <c r="U573" t="s">
        <v>103</v>
      </c>
      <c r="V573">
        <f>IF(OR(B573="Invalid Date",C573="Invalid Date"),"Invalid Date",C573-B573)</f>
        <v>4</v>
      </c>
      <c r="W573" s="4" t="str">
        <f>IF(OR(B573="Invalid Date",C573="Invalid Date"),"Invalid Date",IF(C573&lt;B573,"Invalid Shipping","OK"))</f>
        <v>OK</v>
      </c>
      <c r="X573">
        <f t="shared" si="64"/>
        <v>2</v>
      </c>
      <c r="Y573">
        <f t="shared" si="65"/>
        <v>0</v>
      </c>
      <c r="Z573">
        <f t="shared" si="66"/>
        <v>21381.45</v>
      </c>
      <c r="AA573">
        <f t="shared" si="67"/>
        <v>8141.2400000000016</v>
      </c>
      <c r="AB573" s="6">
        <f t="shared" si="68"/>
        <v>0.38076182859441249</v>
      </c>
      <c r="AC573" t="str">
        <f t="shared" si="69"/>
        <v>February</v>
      </c>
      <c r="AD573">
        <f t="shared" si="70"/>
        <v>2025</v>
      </c>
      <c r="AE573" t="str">
        <f t="shared" si="71"/>
        <v>Warning</v>
      </c>
    </row>
    <row r="574" spans="1:31">
      <c r="A574" t="s">
        <v>1812</v>
      </c>
      <c r="B574" s="3">
        <v>45323</v>
      </c>
      <c r="C574" s="3">
        <v>45300</v>
      </c>
      <c r="D574" t="s">
        <v>1813</v>
      </c>
      <c r="E574" t="s">
        <v>162</v>
      </c>
      <c r="F574" t="s">
        <v>90</v>
      </c>
      <c r="G574" t="s">
        <v>25</v>
      </c>
      <c r="H574" t="s">
        <v>350</v>
      </c>
      <c r="I574" t="s">
        <v>351</v>
      </c>
      <c r="J574" t="s">
        <v>74</v>
      </c>
      <c r="K574" t="s">
        <v>171</v>
      </c>
      <c r="L574" t="s">
        <v>1814</v>
      </c>
      <c r="M574" t="s">
        <v>59</v>
      </c>
      <c r="N574">
        <v>3</v>
      </c>
      <c r="O574">
        <v>739.56</v>
      </c>
      <c r="P574">
        <v>0.2</v>
      </c>
      <c r="Q574">
        <v>1774.94</v>
      </c>
      <c r="R574">
        <v>1007.4</v>
      </c>
      <c r="S574">
        <v>767.54</v>
      </c>
      <c r="T574" t="s">
        <v>32</v>
      </c>
      <c r="U574" t="s">
        <v>33</v>
      </c>
      <c r="V574">
        <f>IF(OR(B574="Invalid Date",C574="Invalid Date"),"Invalid Date",C574-B574)</f>
        <v>-23</v>
      </c>
      <c r="W574" s="4" t="str">
        <f>IF(OR(B574="Invalid Date",C574="Invalid Date"),"Invalid Date",IF(C574&lt;B574,"Invalid Shipping","OK"))</f>
        <v>Invalid Shipping</v>
      </c>
      <c r="X574">
        <f t="shared" si="64"/>
        <v>1</v>
      </c>
      <c r="Y574">
        <f t="shared" si="65"/>
        <v>0.2</v>
      </c>
      <c r="Z574">
        <f t="shared" si="66"/>
        <v>1774.944</v>
      </c>
      <c r="AA574">
        <f t="shared" si="67"/>
        <v>767.54399999999998</v>
      </c>
      <c r="AB574" s="6">
        <f t="shared" si="68"/>
        <v>0.43243279787982042</v>
      </c>
      <c r="AC574" t="str">
        <f t="shared" si="69"/>
        <v>February</v>
      </c>
      <c r="AD574">
        <f t="shared" si="70"/>
        <v>2024</v>
      </c>
      <c r="AE574" t="str">
        <f t="shared" si="71"/>
        <v>Invalid</v>
      </c>
    </row>
    <row r="575" spans="1:31">
      <c r="A575" t="s">
        <v>1815</v>
      </c>
      <c r="B575" s="3" t="s">
        <v>2763</v>
      </c>
      <c r="C575" s="3" t="s">
        <v>2763</v>
      </c>
      <c r="D575" t="s">
        <v>1816</v>
      </c>
      <c r="E575" t="s">
        <v>47</v>
      </c>
      <c r="F575" t="s">
        <v>24</v>
      </c>
      <c r="G575" t="s">
        <v>54</v>
      </c>
      <c r="H575" t="s">
        <v>84</v>
      </c>
      <c r="I575" t="s">
        <v>85</v>
      </c>
      <c r="J575" t="s">
        <v>74</v>
      </c>
      <c r="K575" t="s">
        <v>171</v>
      </c>
      <c r="L575" t="s">
        <v>1817</v>
      </c>
      <c r="M575" t="s">
        <v>59</v>
      </c>
      <c r="N575">
        <v>1</v>
      </c>
      <c r="O575">
        <v>573.65</v>
      </c>
      <c r="P575">
        <v>0</v>
      </c>
      <c r="Q575">
        <v>573.65</v>
      </c>
      <c r="R575">
        <v>322.67</v>
      </c>
      <c r="S575">
        <v>250.98</v>
      </c>
      <c r="T575" t="s">
        <v>32</v>
      </c>
      <c r="U575" t="s">
        <v>33</v>
      </c>
      <c r="V575" t="str">
        <f>IF(OR(B575="Invalid Date",C575="Invalid Date"),"Invalid Date",C575-B575)</f>
        <v>Invalid Date</v>
      </c>
      <c r="W575" s="4" t="str">
        <f>IF(OR(B575="Invalid Date",C575="Invalid Date"),"Invalid Date",IF(C575&lt;B575,"Invalid Shipping","OK"))</f>
        <v>Invalid Date</v>
      </c>
      <c r="X575">
        <f t="shared" si="64"/>
        <v>1</v>
      </c>
      <c r="Y575">
        <f t="shared" si="65"/>
        <v>0</v>
      </c>
      <c r="Z575">
        <f t="shared" si="66"/>
        <v>573.65</v>
      </c>
      <c r="AA575">
        <f t="shared" si="67"/>
        <v>250.97999999999996</v>
      </c>
      <c r="AB575" s="6">
        <f t="shared" si="68"/>
        <v>0.43751416368866031</v>
      </c>
      <c r="AC575" t="str">
        <f t="shared" si="69"/>
        <v/>
      </c>
      <c r="AD575" t="str">
        <f t="shared" si="70"/>
        <v/>
      </c>
      <c r="AE575" t="str">
        <f t="shared" si="71"/>
        <v>Invalid</v>
      </c>
    </row>
    <row r="576" spans="1:31">
      <c r="A576" t="s">
        <v>1818</v>
      </c>
      <c r="B576" s="3">
        <v>45342</v>
      </c>
      <c r="C576" s="3">
        <v>45347</v>
      </c>
      <c r="D576" t="s">
        <v>802</v>
      </c>
      <c r="E576" t="s">
        <v>162</v>
      </c>
      <c r="F576" t="s">
        <v>95</v>
      </c>
      <c r="G576" t="s">
        <v>25</v>
      </c>
      <c r="H576" t="s">
        <v>122</v>
      </c>
      <c r="I576" t="s">
        <v>123</v>
      </c>
      <c r="J576" t="s">
        <v>74</v>
      </c>
      <c r="K576" t="s">
        <v>274</v>
      </c>
      <c r="L576" t="s">
        <v>1819</v>
      </c>
      <c r="M576" t="s">
        <v>59</v>
      </c>
      <c r="N576">
        <v>4</v>
      </c>
      <c r="O576">
        <v>1355.8</v>
      </c>
      <c r="P576">
        <v>0</v>
      </c>
      <c r="Q576">
        <v>5423.2</v>
      </c>
      <c r="R576">
        <v>4072.44</v>
      </c>
      <c r="S576">
        <v>1350.76</v>
      </c>
      <c r="T576" t="s">
        <v>32</v>
      </c>
      <c r="U576" t="s">
        <v>33</v>
      </c>
      <c r="V576">
        <f>IF(OR(B576="Invalid Date",C576="Invalid Date"),"Invalid Date",C576-B576)</f>
        <v>5</v>
      </c>
      <c r="W576" s="4" t="str">
        <f>IF(OR(B576="Invalid Date",C576="Invalid Date"),"Invalid Date",IF(C576&lt;B576,"Invalid Shipping","OK"))</f>
        <v>OK</v>
      </c>
      <c r="X576">
        <f t="shared" si="64"/>
        <v>1</v>
      </c>
      <c r="Y576">
        <f t="shared" si="65"/>
        <v>0</v>
      </c>
      <c r="Z576">
        <f t="shared" si="66"/>
        <v>5423.2</v>
      </c>
      <c r="AA576">
        <f t="shared" si="67"/>
        <v>1350.7599999999998</v>
      </c>
      <c r="AB576" s="6">
        <f t="shared" si="68"/>
        <v>0.24907065938929043</v>
      </c>
      <c r="AC576" t="str">
        <f t="shared" si="69"/>
        <v>February</v>
      </c>
      <c r="AD576">
        <f t="shared" si="70"/>
        <v>2024</v>
      </c>
      <c r="AE576" t="str">
        <f t="shared" si="71"/>
        <v>Clean</v>
      </c>
    </row>
    <row r="577" spans="1:31">
      <c r="A577" t="s">
        <v>1820</v>
      </c>
      <c r="B577" s="3">
        <v>45727</v>
      </c>
      <c r="C577" s="3">
        <v>45730</v>
      </c>
      <c r="D577" t="s">
        <v>1821</v>
      </c>
      <c r="E577" t="s">
        <v>132</v>
      </c>
      <c r="F577" t="s">
        <v>95</v>
      </c>
      <c r="G577" t="s">
        <v>54</v>
      </c>
      <c r="H577" t="s">
        <v>185</v>
      </c>
      <c r="I577" t="s">
        <v>186</v>
      </c>
      <c r="J577" t="s">
        <v>41</v>
      </c>
      <c r="K577" t="s">
        <v>57</v>
      </c>
      <c r="L577" t="s">
        <v>1822</v>
      </c>
      <c r="M577" t="s">
        <v>44</v>
      </c>
      <c r="N577">
        <v>4</v>
      </c>
      <c r="O577">
        <v>1244.82</v>
      </c>
      <c r="P577">
        <v>0.2</v>
      </c>
      <c r="Q577">
        <v>3983.42</v>
      </c>
      <c r="R577">
        <v>3174.91</v>
      </c>
      <c r="S577">
        <v>808.51</v>
      </c>
      <c r="T577" t="s">
        <v>155</v>
      </c>
      <c r="U577" t="s">
        <v>103</v>
      </c>
      <c r="V577">
        <f>IF(OR(B577="Invalid Date",C577="Invalid Date"),"Invalid Date",C577-B577)</f>
        <v>3</v>
      </c>
      <c r="W577" s="4" t="str">
        <f>IF(OR(B577="Invalid Date",C577="Invalid Date"),"Invalid Date",IF(C577&lt;B577,"Invalid Shipping","OK"))</f>
        <v>OK</v>
      </c>
      <c r="X577">
        <f t="shared" si="64"/>
        <v>1</v>
      </c>
      <c r="Y577">
        <f t="shared" si="65"/>
        <v>0.2</v>
      </c>
      <c r="Z577">
        <f t="shared" si="66"/>
        <v>3983.424</v>
      </c>
      <c r="AA577">
        <f t="shared" si="67"/>
        <v>808.51400000000012</v>
      </c>
      <c r="AB577" s="6">
        <f t="shared" si="68"/>
        <v>0.2029696060474607</v>
      </c>
      <c r="AC577" t="str">
        <f t="shared" si="69"/>
        <v>March</v>
      </c>
      <c r="AD577">
        <f t="shared" si="70"/>
        <v>2025</v>
      </c>
      <c r="AE577" t="str">
        <f t="shared" si="71"/>
        <v>Clean</v>
      </c>
    </row>
    <row r="578" spans="1:31">
      <c r="A578" t="s">
        <v>1823</v>
      </c>
      <c r="B578" s="3">
        <v>45339</v>
      </c>
      <c r="C578" s="3" t="s">
        <v>2763</v>
      </c>
      <c r="D578" t="s">
        <v>1824</v>
      </c>
      <c r="E578" t="s">
        <v>141</v>
      </c>
      <c r="F578" t="s">
        <v>95</v>
      </c>
      <c r="G578" t="s">
        <v>2767</v>
      </c>
      <c r="H578" t="s">
        <v>145</v>
      </c>
      <c r="I578" t="s">
        <v>146</v>
      </c>
      <c r="J578" t="s">
        <v>28</v>
      </c>
      <c r="K578" t="s">
        <v>153</v>
      </c>
      <c r="L578" t="s">
        <v>1825</v>
      </c>
      <c r="M578" t="s">
        <v>59</v>
      </c>
      <c r="N578">
        <v>9</v>
      </c>
      <c r="O578">
        <v>2614.46</v>
      </c>
      <c r="P578">
        <v>0</v>
      </c>
      <c r="Q578">
        <v>23530.14</v>
      </c>
      <c r="R578">
        <v>19537.79</v>
      </c>
      <c r="S578">
        <v>3992.35</v>
      </c>
      <c r="T578" t="s">
        <v>102</v>
      </c>
      <c r="U578" t="s">
        <v>103</v>
      </c>
      <c r="V578" t="str">
        <f>IF(OR(B578="Invalid Date",C578="Invalid Date"),"Invalid Date",C578-B578)</f>
        <v>Invalid Date</v>
      </c>
      <c r="W578" s="4" t="str">
        <f>IF(OR(B578="Invalid Date",C578="Invalid Date"),"Invalid Date",IF(C578&lt;B578,"Invalid Shipping","OK"))</f>
        <v>Invalid Date</v>
      </c>
      <c r="X578">
        <f t="shared" si="64"/>
        <v>1</v>
      </c>
      <c r="Y578">
        <f t="shared" si="65"/>
        <v>0</v>
      </c>
      <c r="Z578">
        <f t="shared" si="66"/>
        <v>23530.14</v>
      </c>
      <c r="AA578">
        <f t="shared" si="67"/>
        <v>3992.3499999999985</v>
      </c>
      <c r="AB578" s="6">
        <f t="shared" si="68"/>
        <v>0.16966962372514566</v>
      </c>
      <c r="AC578" t="str">
        <f t="shared" si="69"/>
        <v>February</v>
      </c>
      <c r="AD578">
        <f t="shared" si="70"/>
        <v>2024</v>
      </c>
      <c r="AE578" t="str">
        <f t="shared" si="71"/>
        <v>Invalid</v>
      </c>
    </row>
    <row r="579" spans="1:31">
      <c r="A579" t="s">
        <v>1826</v>
      </c>
      <c r="B579" s="3" t="s">
        <v>2763</v>
      </c>
      <c r="C579" s="3">
        <v>45903</v>
      </c>
      <c r="D579" t="s">
        <v>1827</v>
      </c>
      <c r="E579" t="s">
        <v>114</v>
      </c>
      <c r="F579" t="s">
        <v>90</v>
      </c>
      <c r="G579" t="s">
        <v>63</v>
      </c>
      <c r="H579" t="s">
        <v>72</v>
      </c>
      <c r="I579" t="s">
        <v>73</v>
      </c>
      <c r="J579" t="s">
        <v>41</v>
      </c>
      <c r="K579" t="s">
        <v>57</v>
      </c>
      <c r="L579" t="s">
        <v>1828</v>
      </c>
      <c r="M579" t="s">
        <v>59</v>
      </c>
      <c r="N579">
        <v>7</v>
      </c>
      <c r="O579">
        <v>268.45</v>
      </c>
      <c r="P579">
        <v>0</v>
      </c>
      <c r="Q579">
        <v>1879.15</v>
      </c>
      <c r="R579">
        <v>1134.9000000000001</v>
      </c>
      <c r="S579">
        <v>744.25</v>
      </c>
      <c r="T579" t="s">
        <v>32</v>
      </c>
      <c r="U579" t="s">
        <v>33</v>
      </c>
      <c r="V579" t="str">
        <f>IF(OR(B579="Invalid Date",C579="Invalid Date"),"Invalid Date",C579-B579)</f>
        <v>Invalid Date</v>
      </c>
      <c r="W579" s="4" t="str">
        <f>IF(OR(B579="Invalid Date",C579="Invalid Date"),"Invalid Date",IF(C579&lt;B579,"Invalid Shipping","OK"))</f>
        <v>Invalid Date</v>
      </c>
      <c r="X579">
        <f t="shared" ref="X579:X642" si="72">COUNTIF($A:$A,A579)</f>
        <v>1</v>
      </c>
      <c r="Y579">
        <f t="shared" ref="Y579:Y642" si="73">IF(P579="",0,IF(OR(P579&lt;0,P579&gt;1),"Invalid",P579))</f>
        <v>0</v>
      </c>
      <c r="Z579">
        <f t="shared" ref="Z579:Z642" si="74">IF(ISTEXT(Y579),"",N579*O579*(1-Y579))</f>
        <v>1879.1499999999999</v>
      </c>
      <c r="AA579">
        <f t="shared" ref="AA579:AA642" si="75">IF(Z579="","",Z579-R579)</f>
        <v>744.24999999999977</v>
      </c>
      <c r="AB579" s="6">
        <f t="shared" ref="AB579:AB642" si="76">IF(OR(Z579="",Z579=0),"",AA579/Z579)</f>
        <v>0.39605672777585599</v>
      </c>
      <c r="AC579" t="str">
        <f t="shared" ref="AC579:AC642" si="77">IF(ISNUMBER(B579),TEXT(B579,"mmmm"),"")</f>
        <v/>
      </c>
      <c r="AD579" t="str">
        <f t="shared" ref="AD579:AD642" si="78">IF(ISNUMBER(B579),YEAR(B579),"")</f>
        <v/>
      </c>
      <c r="AE579" t="str">
        <f t="shared" ref="AE579:AE642" si="79">IF(OR(B579="Invalid Date",C579="Invalid Date",W579="Invalid Date",W579="Invalid Shipping",Y579="Invalid"),"Invalid",IF(OR(G579="Unknown",M579="Unknown"),"Warning","Clean"))</f>
        <v>Invalid</v>
      </c>
    </row>
    <row r="580" spans="1:31">
      <c r="A580" t="s">
        <v>1829</v>
      </c>
      <c r="B580" s="3">
        <v>45343</v>
      </c>
      <c r="C580" s="3">
        <v>45345</v>
      </c>
      <c r="D580" t="s">
        <v>295</v>
      </c>
      <c r="E580" t="s">
        <v>79</v>
      </c>
      <c r="F580" t="s">
        <v>37</v>
      </c>
      <c r="G580" t="s">
        <v>63</v>
      </c>
      <c r="H580" t="s">
        <v>180</v>
      </c>
      <c r="I580" t="s">
        <v>181</v>
      </c>
      <c r="J580" t="s">
        <v>74</v>
      </c>
      <c r="K580" t="s">
        <v>80</v>
      </c>
      <c r="L580" t="s">
        <v>1830</v>
      </c>
      <c r="M580" t="s">
        <v>50</v>
      </c>
      <c r="N580">
        <v>6</v>
      </c>
      <c r="O580">
        <v>2633.65</v>
      </c>
      <c r="P580">
        <v>0.05</v>
      </c>
      <c r="Q580">
        <v>15011.81</v>
      </c>
      <c r="R580">
        <v>9660.36</v>
      </c>
      <c r="S580">
        <v>5351.45</v>
      </c>
      <c r="T580" t="s">
        <v>32</v>
      </c>
      <c r="U580" t="s">
        <v>33</v>
      </c>
      <c r="V580">
        <f>IF(OR(B580="Invalid Date",C580="Invalid Date"),"Invalid Date",C580-B580)</f>
        <v>2</v>
      </c>
      <c r="W580" s="4" t="str">
        <f>IF(OR(B580="Invalid Date",C580="Invalid Date"),"Invalid Date",IF(C580&lt;B580,"Invalid Shipping","OK"))</f>
        <v>OK</v>
      </c>
      <c r="X580">
        <f t="shared" si="72"/>
        <v>1</v>
      </c>
      <c r="Y580">
        <f t="shared" si="73"/>
        <v>0.05</v>
      </c>
      <c r="Z580">
        <f t="shared" si="74"/>
        <v>15011.805</v>
      </c>
      <c r="AA580">
        <f t="shared" si="75"/>
        <v>5351.4449999999997</v>
      </c>
      <c r="AB580" s="6">
        <f t="shared" si="76"/>
        <v>0.35648244831317749</v>
      </c>
      <c r="AC580" t="str">
        <f t="shared" si="77"/>
        <v>February</v>
      </c>
      <c r="AD580">
        <f t="shared" si="78"/>
        <v>2024</v>
      </c>
      <c r="AE580" t="str">
        <f t="shared" si="79"/>
        <v>Clean</v>
      </c>
    </row>
    <row r="581" spans="1:31">
      <c r="A581" t="s">
        <v>1831</v>
      </c>
      <c r="B581" s="3">
        <v>45462</v>
      </c>
      <c r="C581" s="3">
        <v>45467</v>
      </c>
      <c r="D581" t="s">
        <v>1832</v>
      </c>
      <c r="E581" t="s">
        <v>128</v>
      </c>
      <c r="F581" t="s">
        <v>37</v>
      </c>
      <c r="G581" t="s">
        <v>54</v>
      </c>
      <c r="H581" t="s">
        <v>247</v>
      </c>
      <c r="I581" t="s">
        <v>248</v>
      </c>
      <c r="J581" t="s">
        <v>28</v>
      </c>
      <c r="K581" t="s">
        <v>124</v>
      </c>
      <c r="L581" t="s">
        <v>1833</v>
      </c>
      <c r="M581" t="s">
        <v>44</v>
      </c>
      <c r="N581">
        <v>1</v>
      </c>
      <c r="O581">
        <v>3202.41</v>
      </c>
      <c r="P581">
        <v>0</v>
      </c>
      <c r="Q581">
        <v>3202.41</v>
      </c>
      <c r="R581">
        <v>2608.44</v>
      </c>
      <c r="S581">
        <v>593.97</v>
      </c>
      <c r="T581" t="s">
        <v>32</v>
      </c>
      <c r="U581" t="s">
        <v>33</v>
      </c>
      <c r="V581">
        <f>IF(OR(B581="Invalid Date",C581="Invalid Date"),"Invalid Date",C581-B581)</f>
        <v>5</v>
      </c>
      <c r="W581" s="4" t="str">
        <f>IF(OR(B581="Invalid Date",C581="Invalid Date"),"Invalid Date",IF(C581&lt;B581,"Invalid Shipping","OK"))</f>
        <v>OK</v>
      </c>
      <c r="X581">
        <f t="shared" si="72"/>
        <v>1</v>
      </c>
      <c r="Y581">
        <f t="shared" si="73"/>
        <v>0</v>
      </c>
      <c r="Z581">
        <f t="shared" si="74"/>
        <v>3202.41</v>
      </c>
      <c r="AA581">
        <f t="shared" si="75"/>
        <v>593.9699999999998</v>
      </c>
      <c r="AB581" s="6">
        <f t="shared" si="76"/>
        <v>0.18547593843386695</v>
      </c>
      <c r="AC581" t="str">
        <f t="shared" si="77"/>
        <v>June</v>
      </c>
      <c r="AD581">
        <f t="shared" si="78"/>
        <v>2024</v>
      </c>
      <c r="AE581" t="str">
        <f t="shared" si="79"/>
        <v>Clean</v>
      </c>
    </row>
    <row r="582" spans="1:31">
      <c r="A582" t="s">
        <v>1834</v>
      </c>
      <c r="B582" s="3">
        <v>45722</v>
      </c>
      <c r="C582" s="3" t="s">
        <v>2763</v>
      </c>
      <c r="D582" t="s">
        <v>1835</v>
      </c>
      <c r="E582" t="s">
        <v>264</v>
      </c>
      <c r="F582" t="s">
        <v>24</v>
      </c>
      <c r="G582" t="s">
        <v>54</v>
      </c>
      <c r="H582" t="s">
        <v>185</v>
      </c>
      <c r="I582" t="s">
        <v>186</v>
      </c>
      <c r="J582" t="s">
        <v>41</v>
      </c>
      <c r="K582" t="s">
        <v>66</v>
      </c>
      <c r="L582" t="s">
        <v>1836</v>
      </c>
      <c r="M582" t="s">
        <v>59</v>
      </c>
      <c r="N582">
        <v>3</v>
      </c>
      <c r="O582">
        <v>163.72</v>
      </c>
      <c r="P582">
        <v>0.15</v>
      </c>
      <c r="Q582">
        <v>417.49</v>
      </c>
      <c r="R582">
        <v>261.67</v>
      </c>
      <c r="S582">
        <v>155.82</v>
      </c>
      <c r="T582" t="s">
        <v>155</v>
      </c>
      <c r="U582" t="s">
        <v>103</v>
      </c>
      <c r="V582" t="str">
        <f>IF(OR(B582="Invalid Date",C582="Invalid Date"),"Invalid Date",C582-B582)</f>
        <v>Invalid Date</v>
      </c>
      <c r="W582" s="4" t="str">
        <f>IF(OR(B582="Invalid Date",C582="Invalid Date"),"Invalid Date",IF(C582&lt;B582,"Invalid Shipping","OK"))</f>
        <v>Invalid Date</v>
      </c>
      <c r="X582">
        <f t="shared" si="72"/>
        <v>1</v>
      </c>
      <c r="Y582">
        <f t="shared" si="73"/>
        <v>0.15</v>
      </c>
      <c r="Z582">
        <f t="shared" si="74"/>
        <v>417.48599999999999</v>
      </c>
      <c r="AA582">
        <f t="shared" si="75"/>
        <v>155.81599999999997</v>
      </c>
      <c r="AB582" s="6">
        <f t="shared" si="76"/>
        <v>0.37322449136018926</v>
      </c>
      <c r="AC582" t="str">
        <f t="shared" si="77"/>
        <v>March</v>
      </c>
      <c r="AD582">
        <f t="shared" si="78"/>
        <v>2025</v>
      </c>
      <c r="AE582" t="str">
        <f t="shared" si="79"/>
        <v>Invalid</v>
      </c>
    </row>
    <row r="583" spans="1:31">
      <c r="A583" t="s">
        <v>1837</v>
      </c>
      <c r="B583" s="3">
        <v>45878</v>
      </c>
      <c r="C583" s="3">
        <v>45938</v>
      </c>
      <c r="D583" t="s">
        <v>1838</v>
      </c>
      <c r="E583" t="s">
        <v>79</v>
      </c>
      <c r="F583" t="s">
        <v>24</v>
      </c>
      <c r="G583" t="s">
        <v>25</v>
      </c>
      <c r="H583" t="s">
        <v>350</v>
      </c>
      <c r="I583" t="s">
        <v>351</v>
      </c>
      <c r="J583" t="s">
        <v>28</v>
      </c>
      <c r="K583" t="s">
        <v>48</v>
      </c>
      <c r="L583" t="s">
        <v>1839</v>
      </c>
      <c r="M583" t="s">
        <v>31</v>
      </c>
      <c r="N583">
        <v>4</v>
      </c>
      <c r="O583">
        <v>4080.95</v>
      </c>
      <c r="P583">
        <v>0</v>
      </c>
      <c r="Q583">
        <v>16323.8</v>
      </c>
      <c r="R583">
        <v>9965.7900000000009</v>
      </c>
      <c r="S583">
        <v>6358.01</v>
      </c>
      <c r="T583" t="s">
        <v>102</v>
      </c>
      <c r="U583" t="s">
        <v>103</v>
      </c>
      <c r="V583">
        <f>IF(OR(B583="Invalid Date",C583="Invalid Date"),"Invalid Date",C583-B583)</f>
        <v>60</v>
      </c>
      <c r="W583" s="4" t="str">
        <f>IF(OR(B583="Invalid Date",C583="Invalid Date"),"Invalid Date",IF(C583&lt;B583,"Invalid Shipping","OK"))</f>
        <v>OK</v>
      </c>
      <c r="X583">
        <f t="shared" si="72"/>
        <v>1</v>
      </c>
      <c r="Y583">
        <f t="shared" si="73"/>
        <v>0</v>
      </c>
      <c r="Z583">
        <f t="shared" si="74"/>
        <v>16323.8</v>
      </c>
      <c r="AA583">
        <f t="shared" si="75"/>
        <v>6358.0099999999984</v>
      </c>
      <c r="AB583" s="6">
        <f t="shared" si="76"/>
        <v>0.38949325524693995</v>
      </c>
      <c r="AC583" t="str">
        <f t="shared" si="77"/>
        <v>August</v>
      </c>
      <c r="AD583">
        <f t="shared" si="78"/>
        <v>2025</v>
      </c>
      <c r="AE583" t="str">
        <f t="shared" si="79"/>
        <v>Clean</v>
      </c>
    </row>
    <row r="584" spans="1:31">
      <c r="A584" t="s">
        <v>1840</v>
      </c>
      <c r="B584" s="3">
        <v>45580</v>
      </c>
      <c r="C584" s="3" t="s">
        <v>2763</v>
      </c>
      <c r="D584" t="s">
        <v>1841</v>
      </c>
      <c r="E584" t="s">
        <v>62</v>
      </c>
      <c r="F584" t="s">
        <v>24</v>
      </c>
      <c r="G584" t="s">
        <v>38</v>
      </c>
      <c r="H584" t="s">
        <v>39</v>
      </c>
      <c r="I584" t="s">
        <v>40</v>
      </c>
      <c r="J584" t="s">
        <v>28</v>
      </c>
      <c r="K584" t="s">
        <v>48</v>
      </c>
      <c r="L584" t="s">
        <v>1842</v>
      </c>
      <c r="M584" t="s">
        <v>50</v>
      </c>
      <c r="N584">
        <v>5</v>
      </c>
      <c r="O584">
        <v>671.24</v>
      </c>
      <c r="P584">
        <v>0</v>
      </c>
      <c r="Q584">
        <v>3356.2</v>
      </c>
      <c r="R584">
        <v>2205.7199999999998</v>
      </c>
      <c r="S584">
        <v>1150.48</v>
      </c>
      <c r="T584" t="s">
        <v>111</v>
      </c>
      <c r="U584" t="s">
        <v>103</v>
      </c>
      <c r="V584" t="str">
        <f>IF(OR(B584="Invalid Date",C584="Invalid Date"),"Invalid Date",C584-B584)</f>
        <v>Invalid Date</v>
      </c>
      <c r="W584" s="4" t="str">
        <f>IF(OR(B584="Invalid Date",C584="Invalid Date"),"Invalid Date",IF(C584&lt;B584,"Invalid Shipping","OK"))</f>
        <v>Invalid Date</v>
      </c>
      <c r="X584">
        <f t="shared" si="72"/>
        <v>1</v>
      </c>
      <c r="Y584">
        <f t="shared" si="73"/>
        <v>0</v>
      </c>
      <c r="Z584">
        <f t="shared" si="74"/>
        <v>3356.2</v>
      </c>
      <c r="AA584">
        <f t="shared" si="75"/>
        <v>1150.48</v>
      </c>
      <c r="AB584" s="6">
        <f t="shared" si="76"/>
        <v>0.34279244383528995</v>
      </c>
      <c r="AC584" t="str">
        <f t="shared" si="77"/>
        <v>October</v>
      </c>
      <c r="AD584">
        <f t="shared" si="78"/>
        <v>2024</v>
      </c>
      <c r="AE584" t="str">
        <f t="shared" si="79"/>
        <v>Invalid</v>
      </c>
    </row>
    <row r="585" spans="1:31">
      <c r="A585" t="s">
        <v>1843</v>
      </c>
      <c r="B585" s="3">
        <v>45350</v>
      </c>
      <c r="C585" s="3" t="s">
        <v>2763</v>
      </c>
      <c r="D585" t="s">
        <v>1844</v>
      </c>
      <c r="E585" t="s">
        <v>141</v>
      </c>
      <c r="F585" t="s">
        <v>37</v>
      </c>
      <c r="G585" t="s">
        <v>38</v>
      </c>
      <c r="H585" t="s">
        <v>99</v>
      </c>
      <c r="I585" t="s">
        <v>100</v>
      </c>
      <c r="J585" t="s">
        <v>28</v>
      </c>
      <c r="K585" t="s">
        <v>124</v>
      </c>
      <c r="L585" t="s">
        <v>1845</v>
      </c>
      <c r="M585" t="s">
        <v>50</v>
      </c>
      <c r="N585">
        <v>1</v>
      </c>
      <c r="O585">
        <v>2626.84</v>
      </c>
      <c r="P585">
        <v>0.2</v>
      </c>
      <c r="Q585">
        <v>2101.4699999999998</v>
      </c>
      <c r="R585">
        <v>1217.83</v>
      </c>
      <c r="S585">
        <v>883.64</v>
      </c>
      <c r="T585" t="s">
        <v>155</v>
      </c>
      <c r="U585" t="s">
        <v>103</v>
      </c>
      <c r="V585" t="str">
        <f>IF(OR(B585="Invalid Date",C585="Invalid Date"),"Invalid Date",C585-B585)</f>
        <v>Invalid Date</v>
      </c>
      <c r="W585" s="4" t="str">
        <f>IF(OR(B585="Invalid Date",C585="Invalid Date"),"Invalid Date",IF(C585&lt;B585,"Invalid Shipping","OK"))</f>
        <v>Invalid Date</v>
      </c>
      <c r="X585">
        <f t="shared" si="72"/>
        <v>1</v>
      </c>
      <c r="Y585">
        <f t="shared" si="73"/>
        <v>0.2</v>
      </c>
      <c r="Z585">
        <f t="shared" si="74"/>
        <v>2101.4720000000002</v>
      </c>
      <c r="AA585">
        <f t="shared" si="75"/>
        <v>883.64200000000028</v>
      </c>
      <c r="AB585" s="6">
        <f t="shared" si="76"/>
        <v>0.42048716328364127</v>
      </c>
      <c r="AC585" t="str">
        <f t="shared" si="77"/>
        <v>February</v>
      </c>
      <c r="AD585">
        <f t="shared" si="78"/>
        <v>2024</v>
      </c>
      <c r="AE585" t="str">
        <f t="shared" si="79"/>
        <v>Invalid</v>
      </c>
    </row>
    <row r="586" spans="1:31">
      <c r="A586" t="s">
        <v>1846</v>
      </c>
      <c r="B586" s="3">
        <v>45390</v>
      </c>
      <c r="C586" s="3">
        <v>45514</v>
      </c>
      <c r="D586" t="s">
        <v>1847</v>
      </c>
      <c r="E586" t="s">
        <v>71</v>
      </c>
      <c r="F586" t="s">
        <v>24</v>
      </c>
      <c r="G586" t="s">
        <v>38</v>
      </c>
      <c r="H586" t="s">
        <v>145</v>
      </c>
      <c r="I586" t="s">
        <v>146</v>
      </c>
      <c r="J586" t="s">
        <v>28</v>
      </c>
      <c r="K586" t="s">
        <v>48</v>
      </c>
      <c r="L586" t="s">
        <v>1848</v>
      </c>
      <c r="M586" t="s">
        <v>44</v>
      </c>
      <c r="N586">
        <v>1</v>
      </c>
      <c r="O586">
        <v>984.93</v>
      </c>
      <c r="P586">
        <v>0.15</v>
      </c>
      <c r="Q586">
        <v>837.19</v>
      </c>
      <c r="R586">
        <v>583.79</v>
      </c>
      <c r="S586">
        <v>253.4</v>
      </c>
      <c r="T586" t="s">
        <v>111</v>
      </c>
      <c r="U586" t="s">
        <v>103</v>
      </c>
      <c r="V586">
        <f>IF(OR(B586="Invalid Date",C586="Invalid Date"),"Invalid Date",C586-B586)</f>
        <v>124</v>
      </c>
      <c r="W586" s="4" t="str">
        <f>IF(OR(B586="Invalid Date",C586="Invalid Date"),"Invalid Date",IF(C586&lt;B586,"Invalid Shipping","OK"))</f>
        <v>OK</v>
      </c>
      <c r="X586">
        <f t="shared" si="72"/>
        <v>1</v>
      </c>
      <c r="Y586">
        <f t="shared" si="73"/>
        <v>0.15</v>
      </c>
      <c r="Z586">
        <f t="shared" si="74"/>
        <v>837.19049999999993</v>
      </c>
      <c r="AA586">
        <f t="shared" si="75"/>
        <v>253.40049999999997</v>
      </c>
      <c r="AB586" s="6">
        <f t="shared" si="76"/>
        <v>0.30267961712417901</v>
      </c>
      <c r="AC586" t="str">
        <f t="shared" si="77"/>
        <v>April</v>
      </c>
      <c r="AD586">
        <f t="shared" si="78"/>
        <v>2024</v>
      </c>
      <c r="AE586" t="str">
        <f t="shared" si="79"/>
        <v>Clean</v>
      </c>
    </row>
    <row r="587" spans="1:31">
      <c r="A587" t="s">
        <v>1849</v>
      </c>
      <c r="B587" s="3">
        <v>45830</v>
      </c>
      <c r="C587" s="3">
        <v>45833</v>
      </c>
      <c r="D587" t="s">
        <v>1850</v>
      </c>
      <c r="E587" t="s">
        <v>162</v>
      </c>
      <c r="F587" t="s">
        <v>37</v>
      </c>
      <c r="G587" t="s">
        <v>63</v>
      </c>
      <c r="H587" t="s">
        <v>64</v>
      </c>
      <c r="I587" t="s">
        <v>65</v>
      </c>
      <c r="J587" t="s">
        <v>74</v>
      </c>
      <c r="K587" t="s">
        <v>171</v>
      </c>
      <c r="L587" t="s">
        <v>1851</v>
      </c>
      <c r="M587" t="s">
        <v>50</v>
      </c>
      <c r="N587">
        <v>8</v>
      </c>
      <c r="O587">
        <v>3453.66</v>
      </c>
      <c r="P587">
        <v>0</v>
      </c>
      <c r="Q587">
        <v>27629.279999999999</v>
      </c>
      <c r="R587">
        <v>22026.48</v>
      </c>
      <c r="S587">
        <v>5602.8</v>
      </c>
      <c r="T587" t="s">
        <v>32</v>
      </c>
      <c r="U587" t="s">
        <v>33</v>
      </c>
      <c r="V587">
        <f>IF(OR(B587="Invalid Date",C587="Invalid Date"),"Invalid Date",C587-B587)</f>
        <v>3</v>
      </c>
      <c r="W587" s="4" t="str">
        <f>IF(OR(B587="Invalid Date",C587="Invalid Date"),"Invalid Date",IF(C587&lt;B587,"Invalid Shipping","OK"))</f>
        <v>OK</v>
      </c>
      <c r="X587">
        <f t="shared" si="72"/>
        <v>1</v>
      </c>
      <c r="Y587">
        <f t="shared" si="73"/>
        <v>0</v>
      </c>
      <c r="Z587">
        <f t="shared" si="74"/>
        <v>27629.279999999999</v>
      </c>
      <c r="AA587">
        <f t="shared" si="75"/>
        <v>5602.7999999999993</v>
      </c>
      <c r="AB587" s="6">
        <f t="shared" si="76"/>
        <v>0.20278487170132553</v>
      </c>
      <c r="AC587" t="str">
        <f t="shared" si="77"/>
        <v>June</v>
      </c>
      <c r="AD587">
        <f t="shared" si="78"/>
        <v>2025</v>
      </c>
      <c r="AE587" t="str">
        <f t="shared" si="79"/>
        <v>Clean</v>
      </c>
    </row>
    <row r="588" spans="1:31">
      <c r="A588" t="s">
        <v>1852</v>
      </c>
      <c r="B588" s="3">
        <v>45759</v>
      </c>
      <c r="C588" s="3">
        <v>45759</v>
      </c>
      <c r="D588" t="s">
        <v>1853</v>
      </c>
      <c r="E588" t="s">
        <v>36</v>
      </c>
      <c r="F588" t="s">
        <v>95</v>
      </c>
      <c r="G588" t="s">
        <v>25</v>
      </c>
      <c r="H588" t="s">
        <v>122</v>
      </c>
      <c r="I588" t="s">
        <v>123</v>
      </c>
      <c r="J588" t="s">
        <v>28</v>
      </c>
      <c r="K588" t="s">
        <v>153</v>
      </c>
      <c r="L588" t="s">
        <v>1854</v>
      </c>
      <c r="M588" t="s">
        <v>31</v>
      </c>
      <c r="N588">
        <v>7</v>
      </c>
      <c r="O588">
        <v>1334.2</v>
      </c>
      <c r="P588">
        <v>0.2</v>
      </c>
      <c r="Q588">
        <v>7471.52</v>
      </c>
      <c r="R588">
        <v>6184.32</v>
      </c>
      <c r="S588">
        <v>1287.2</v>
      </c>
      <c r="T588" t="s">
        <v>32</v>
      </c>
      <c r="U588" t="s">
        <v>33</v>
      </c>
      <c r="V588">
        <f>IF(OR(B588="Invalid Date",C588="Invalid Date"),"Invalid Date",C588-B588)</f>
        <v>0</v>
      </c>
      <c r="W588" s="4" t="str">
        <f>IF(OR(B588="Invalid Date",C588="Invalid Date"),"Invalid Date",IF(C588&lt;B588,"Invalid Shipping","OK"))</f>
        <v>OK</v>
      </c>
      <c r="X588">
        <f t="shared" si="72"/>
        <v>1</v>
      </c>
      <c r="Y588">
        <f t="shared" si="73"/>
        <v>0.2</v>
      </c>
      <c r="Z588">
        <f t="shared" si="74"/>
        <v>7471.52</v>
      </c>
      <c r="AA588">
        <f t="shared" si="75"/>
        <v>1287.2000000000007</v>
      </c>
      <c r="AB588" s="6">
        <f t="shared" si="76"/>
        <v>0.17228087457438387</v>
      </c>
      <c r="AC588" t="str">
        <f t="shared" si="77"/>
        <v>April</v>
      </c>
      <c r="AD588">
        <f t="shared" si="78"/>
        <v>2025</v>
      </c>
      <c r="AE588" t="str">
        <f t="shared" si="79"/>
        <v>Clean</v>
      </c>
    </row>
    <row r="589" spans="1:31">
      <c r="A589" t="s">
        <v>1855</v>
      </c>
      <c r="B589" s="3">
        <v>45861</v>
      </c>
      <c r="C589" s="3">
        <v>45869</v>
      </c>
      <c r="D589" t="s">
        <v>1856</v>
      </c>
      <c r="E589" t="s">
        <v>264</v>
      </c>
      <c r="F589" t="s">
        <v>95</v>
      </c>
      <c r="G589" t="s">
        <v>63</v>
      </c>
      <c r="H589" t="s">
        <v>72</v>
      </c>
      <c r="I589" t="s">
        <v>73</v>
      </c>
      <c r="J589" t="s">
        <v>74</v>
      </c>
      <c r="K589" t="s">
        <v>75</v>
      </c>
      <c r="L589" t="s">
        <v>1857</v>
      </c>
      <c r="M589" t="s">
        <v>50</v>
      </c>
      <c r="N589">
        <v>1</v>
      </c>
      <c r="O589">
        <v>4253.84</v>
      </c>
      <c r="P589">
        <v>0.15</v>
      </c>
      <c r="Q589">
        <v>3615.76</v>
      </c>
      <c r="R589">
        <v>2951.52</v>
      </c>
      <c r="S589">
        <v>664.24</v>
      </c>
      <c r="T589" t="s">
        <v>102</v>
      </c>
      <c r="U589" t="s">
        <v>68</v>
      </c>
      <c r="V589">
        <f>IF(OR(B589="Invalid Date",C589="Invalid Date"),"Invalid Date",C589-B589)</f>
        <v>8</v>
      </c>
      <c r="W589" s="4" t="str">
        <f>IF(OR(B589="Invalid Date",C589="Invalid Date"),"Invalid Date",IF(C589&lt;B589,"Invalid Shipping","OK"))</f>
        <v>OK</v>
      </c>
      <c r="X589">
        <f t="shared" si="72"/>
        <v>1</v>
      </c>
      <c r="Y589">
        <f t="shared" si="73"/>
        <v>0.15</v>
      </c>
      <c r="Z589">
        <f t="shared" si="74"/>
        <v>3615.7640000000001</v>
      </c>
      <c r="AA589">
        <f t="shared" si="75"/>
        <v>664.24400000000014</v>
      </c>
      <c r="AB589" s="6">
        <f t="shared" si="76"/>
        <v>0.18370778623826114</v>
      </c>
      <c r="AC589" t="str">
        <f t="shared" si="77"/>
        <v>July</v>
      </c>
      <c r="AD589">
        <f t="shared" si="78"/>
        <v>2025</v>
      </c>
      <c r="AE589" t="str">
        <f t="shared" si="79"/>
        <v>Clean</v>
      </c>
    </row>
    <row r="590" spans="1:31">
      <c r="A590" t="s">
        <v>1858</v>
      </c>
      <c r="B590" s="3">
        <v>45727</v>
      </c>
      <c r="C590" s="3">
        <v>45731</v>
      </c>
      <c r="D590" t="s">
        <v>1859</v>
      </c>
      <c r="E590" t="s">
        <v>128</v>
      </c>
      <c r="F590" t="s">
        <v>95</v>
      </c>
      <c r="G590" t="s">
        <v>54</v>
      </c>
      <c r="H590" t="s">
        <v>175</v>
      </c>
      <c r="I590" t="s">
        <v>176</v>
      </c>
      <c r="J590" t="s">
        <v>74</v>
      </c>
      <c r="K590" t="s">
        <v>75</v>
      </c>
      <c r="L590" t="s">
        <v>1860</v>
      </c>
      <c r="M590" t="s">
        <v>31</v>
      </c>
      <c r="N590">
        <v>8</v>
      </c>
      <c r="O590">
        <v>4446.3599999999997</v>
      </c>
      <c r="P590">
        <v>0.1</v>
      </c>
      <c r="Q590">
        <v>32013.79</v>
      </c>
      <c r="R590">
        <v>20896.88</v>
      </c>
      <c r="S590">
        <v>11116.91</v>
      </c>
      <c r="T590" t="s">
        <v>102</v>
      </c>
      <c r="U590" t="s">
        <v>68</v>
      </c>
      <c r="V590">
        <f>IF(OR(B590="Invalid Date",C590="Invalid Date"),"Invalid Date",C590-B590)</f>
        <v>4</v>
      </c>
      <c r="W590" s="4" t="str">
        <f>IF(OR(B590="Invalid Date",C590="Invalid Date"),"Invalid Date",IF(C590&lt;B590,"Invalid Shipping","OK"))</f>
        <v>OK</v>
      </c>
      <c r="X590">
        <f t="shared" si="72"/>
        <v>1</v>
      </c>
      <c r="Y590">
        <f t="shared" si="73"/>
        <v>0.1</v>
      </c>
      <c r="Z590">
        <f t="shared" si="74"/>
        <v>32013.791999999998</v>
      </c>
      <c r="AA590">
        <f t="shared" si="75"/>
        <v>11116.911999999997</v>
      </c>
      <c r="AB590" s="6">
        <f t="shared" si="76"/>
        <v>0.34725383359771933</v>
      </c>
      <c r="AC590" t="str">
        <f t="shared" si="77"/>
        <v>March</v>
      </c>
      <c r="AD590">
        <f t="shared" si="78"/>
        <v>2025</v>
      </c>
      <c r="AE590" t="str">
        <f t="shared" si="79"/>
        <v>Clean</v>
      </c>
    </row>
    <row r="591" spans="1:31">
      <c r="A591" t="s">
        <v>1861</v>
      </c>
      <c r="B591" s="3">
        <v>45632</v>
      </c>
      <c r="C591" s="3">
        <v>45638</v>
      </c>
      <c r="D591" t="s">
        <v>1862</v>
      </c>
      <c r="E591" t="s">
        <v>141</v>
      </c>
      <c r="F591" t="s">
        <v>90</v>
      </c>
      <c r="G591" t="s">
        <v>25</v>
      </c>
      <c r="H591" t="s">
        <v>136</v>
      </c>
      <c r="I591" t="s">
        <v>137</v>
      </c>
      <c r="J591" t="s">
        <v>74</v>
      </c>
      <c r="K591" t="s">
        <v>171</v>
      </c>
      <c r="L591" t="s">
        <v>1863</v>
      </c>
      <c r="M591" t="s">
        <v>50</v>
      </c>
      <c r="N591">
        <v>3</v>
      </c>
      <c r="O591">
        <v>524.75</v>
      </c>
      <c r="P591">
        <v>0</v>
      </c>
      <c r="Q591">
        <v>1574.25</v>
      </c>
      <c r="R591">
        <v>1326.12</v>
      </c>
      <c r="S591">
        <v>248.13</v>
      </c>
      <c r="T591" t="s">
        <v>32</v>
      </c>
      <c r="U591" t="s">
        <v>33</v>
      </c>
      <c r="V591">
        <f>IF(OR(B591="Invalid Date",C591="Invalid Date"),"Invalid Date",C591-B591)</f>
        <v>6</v>
      </c>
      <c r="W591" s="4" t="str">
        <f>IF(OR(B591="Invalid Date",C591="Invalid Date"),"Invalid Date",IF(C591&lt;B591,"Invalid Shipping","OK"))</f>
        <v>OK</v>
      </c>
      <c r="X591">
        <f t="shared" si="72"/>
        <v>1</v>
      </c>
      <c r="Y591">
        <f t="shared" si="73"/>
        <v>0</v>
      </c>
      <c r="Z591">
        <f t="shared" si="74"/>
        <v>1574.25</v>
      </c>
      <c r="AA591">
        <f t="shared" si="75"/>
        <v>248.13000000000011</v>
      </c>
      <c r="AB591" s="6">
        <f t="shared" si="76"/>
        <v>0.15761791329204389</v>
      </c>
      <c r="AC591" t="str">
        <f t="shared" si="77"/>
        <v>December</v>
      </c>
      <c r="AD591">
        <f t="shared" si="78"/>
        <v>2024</v>
      </c>
      <c r="AE591" t="str">
        <f t="shared" si="79"/>
        <v>Clean</v>
      </c>
    </row>
    <row r="592" spans="1:31">
      <c r="A592" t="s">
        <v>1864</v>
      </c>
      <c r="B592" s="3">
        <v>45441</v>
      </c>
      <c r="C592" s="3">
        <v>45441</v>
      </c>
      <c r="D592" t="s">
        <v>1865</v>
      </c>
      <c r="E592" t="s">
        <v>128</v>
      </c>
      <c r="F592" t="s">
        <v>95</v>
      </c>
      <c r="G592" t="s">
        <v>25</v>
      </c>
      <c r="H592" t="s">
        <v>350</v>
      </c>
      <c r="I592" t="s">
        <v>351</v>
      </c>
      <c r="J592" t="s">
        <v>41</v>
      </c>
      <c r="K592" t="s">
        <v>66</v>
      </c>
      <c r="L592" t="s">
        <v>1866</v>
      </c>
      <c r="M592" t="s">
        <v>44</v>
      </c>
      <c r="N592">
        <v>6</v>
      </c>
      <c r="O592">
        <v>3430.35</v>
      </c>
      <c r="P592">
        <v>0</v>
      </c>
      <c r="Q592">
        <v>20582.099999999999</v>
      </c>
      <c r="R592">
        <v>15897.65</v>
      </c>
      <c r="S592">
        <v>4684.45</v>
      </c>
      <c r="T592" t="s">
        <v>111</v>
      </c>
      <c r="U592" t="s">
        <v>68</v>
      </c>
      <c r="V592">
        <f>IF(OR(B592="Invalid Date",C592="Invalid Date"),"Invalid Date",C592-B592)</f>
        <v>0</v>
      </c>
      <c r="W592" s="4" t="str">
        <f>IF(OR(B592="Invalid Date",C592="Invalid Date"),"Invalid Date",IF(C592&lt;B592,"Invalid Shipping","OK"))</f>
        <v>OK</v>
      </c>
      <c r="X592">
        <f t="shared" si="72"/>
        <v>1</v>
      </c>
      <c r="Y592">
        <f t="shared" si="73"/>
        <v>0</v>
      </c>
      <c r="Z592">
        <f t="shared" si="74"/>
        <v>20582.099999999999</v>
      </c>
      <c r="AA592">
        <f t="shared" si="75"/>
        <v>4684.4499999999989</v>
      </c>
      <c r="AB592" s="6">
        <f t="shared" si="76"/>
        <v>0.22759825285077806</v>
      </c>
      <c r="AC592" t="str">
        <f t="shared" si="77"/>
        <v>May</v>
      </c>
      <c r="AD592">
        <f t="shared" si="78"/>
        <v>2024</v>
      </c>
      <c r="AE592" t="str">
        <f t="shared" si="79"/>
        <v>Clean</v>
      </c>
    </row>
    <row r="593" spans="1:31">
      <c r="A593" t="s">
        <v>1867</v>
      </c>
      <c r="B593" s="3">
        <v>45344</v>
      </c>
      <c r="C593" s="3">
        <v>45346</v>
      </c>
      <c r="D593" t="s">
        <v>1868</v>
      </c>
      <c r="E593" t="s">
        <v>132</v>
      </c>
      <c r="F593" t="s">
        <v>24</v>
      </c>
      <c r="G593" t="s">
        <v>54</v>
      </c>
      <c r="H593" t="s">
        <v>175</v>
      </c>
      <c r="I593" t="s">
        <v>176</v>
      </c>
      <c r="J593" t="s">
        <v>74</v>
      </c>
      <c r="K593" t="s">
        <v>80</v>
      </c>
      <c r="L593" t="s">
        <v>1869</v>
      </c>
      <c r="M593" t="s">
        <v>50</v>
      </c>
      <c r="N593">
        <v>3</v>
      </c>
      <c r="O593">
        <v>3545.08</v>
      </c>
      <c r="P593">
        <v>0</v>
      </c>
      <c r="Q593">
        <v>10635.24</v>
      </c>
      <c r="R593">
        <v>6031.88</v>
      </c>
      <c r="S593">
        <v>4603.3599999999997</v>
      </c>
      <c r="T593" t="s">
        <v>155</v>
      </c>
      <c r="U593" t="s">
        <v>103</v>
      </c>
      <c r="V593">
        <f>IF(OR(B593="Invalid Date",C593="Invalid Date"),"Invalid Date",C593-B593)</f>
        <v>2</v>
      </c>
      <c r="W593" s="4" t="str">
        <f>IF(OR(B593="Invalid Date",C593="Invalid Date"),"Invalid Date",IF(C593&lt;B593,"Invalid Shipping","OK"))</f>
        <v>OK</v>
      </c>
      <c r="X593">
        <f t="shared" si="72"/>
        <v>1</v>
      </c>
      <c r="Y593">
        <f t="shared" si="73"/>
        <v>0</v>
      </c>
      <c r="Z593">
        <f t="shared" si="74"/>
        <v>10635.24</v>
      </c>
      <c r="AA593">
        <f t="shared" si="75"/>
        <v>4603.3599999999997</v>
      </c>
      <c r="AB593" s="6">
        <f t="shared" si="76"/>
        <v>0.43284025560307055</v>
      </c>
      <c r="AC593" t="str">
        <f t="shared" si="77"/>
        <v>February</v>
      </c>
      <c r="AD593">
        <f t="shared" si="78"/>
        <v>2024</v>
      </c>
      <c r="AE593" t="str">
        <f t="shared" si="79"/>
        <v>Clean</v>
      </c>
    </row>
    <row r="594" spans="1:31">
      <c r="A594" t="s">
        <v>1870</v>
      </c>
      <c r="B594" s="3">
        <v>45355</v>
      </c>
      <c r="C594" s="3">
        <v>45360</v>
      </c>
      <c r="D594" t="s">
        <v>1871</v>
      </c>
      <c r="E594" t="s">
        <v>36</v>
      </c>
      <c r="F594" t="s">
        <v>24</v>
      </c>
      <c r="G594" t="s">
        <v>38</v>
      </c>
      <c r="H594" t="s">
        <v>99</v>
      </c>
      <c r="I594" t="s">
        <v>100</v>
      </c>
      <c r="J594" t="s">
        <v>74</v>
      </c>
      <c r="K594" t="s">
        <v>75</v>
      </c>
      <c r="L594" t="s">
        <v>1872</v>
      </c>
      <c r="M594" t="s">
        <v>44</v>
      </c>
      <c r="N594">
        <v>8</v>
      </c>
      <c r="O594">
        <v>4401.41</v>
      </c>
      <c r="P594">
        <v>0.15</v>
      </c>
      <c r="Q594">
        <v>29929.59</v>
      </c>
      <c r="R594">
        <v>22436.03</v>
      </c>
      <c r="S594">
        <v>7493.56</v>
      </c>
      <c r="T594" t="s">
        <v>32</v>
      </c>
      <c r="U594" t="s">
        <v>33</v>
      </c>
      <c r="V594">
        <f>IF(OR(B594="Invalid Date",C594="Invalid Date"),"Invalid Date",C594-B594)</f>
        <v>5</v>
      </c>
      <c r="W594" s="4" t="str">
        <f>IF(OR(B594="Invalid Date",C594="Invalid Date"),"Invalid Date",IF(C594&lt;B594,"Invalid Shipping","OK"))</f>
        <v>OK</v>
      </c>
      <c r="X594">
        <f t="shared" si="72"/>
        <v>1</v>
      </c>
      <c r="Y594">
        <f t="shared" si="73"/>
        <v>0.15</v>
      </c>
      <c r="Z594">
        <f t="shared" si="74"/>
        <v>29929.588</v>
      </c>
      <c r="AA594">
        <f t="shared" si="75"/>
        <v>7493.5580000000009</v>
      </c>
      <c r="AB594" s="6">
        <f t="shared" si="76"/>
        <v>0.25037290857461858</v>
      </c>
      <c r="AC594" t="str">
        <f t="shared" si="77"/>
        <v>March</v>
      </c>
      <c r="AD594">
        <f t="shared" si="78"/>
        <v>2024</v>
      </c>
      <c r="AE594" t="str">
        <f t="shared" si="79"/>
        <v>Clean</v>
      </c>
    </row>
    <row r="595" spans="1:31">
      <c r="A595" t="s">
        <v>1873</v>
      </c>
      <c r="B595" s="3" t="s">
        <v>2763</v>
      </c>
      <c r="C595" s="3">
        <v>45929</v>
      </c>
      <c r="D595" t="s">
        <v>1665</v>
      </c>
      <c r="E595" t="s">
        <v>53</v>
      </c>
      <c r="F595" t="s">
        <v>95</v>
      </c>
      <c r="G595" t="s">
        <v>25</v>
      </c>
      <c r="H595" t="s">
        <v>136</v>
      </c>
      <c r="I595" t="s">
        <v>137</v>
      </c>
      <c r="J595" t="s">
        <v>41</v>
      </c>
      <c r="K595" t="s">
        <v>42</v>
      </c>
      <c r="L595" t="s">
        <v>1874</v>
      </c>
      <c r="M595" t="s">
        <v>31</v>
      </c>
      <c r="N595">
        <v>9</v>
      </c>
      <c r="O595">
        <v>4100.1099999999997</v>
      </c>
      <c r="P595">
        <v>0.25</v>
      </c>
      <c r="Q595">
        <v>27675.74</v>
      </c>
      <c r="R595">
        <v>15571.08</v>
      </c>
      <c r="S595">
        <v>12104.66</v>
      </c>
      <c r="T595" t="s">
        <v>32</v>
      </c>
      <c r="U595" t="s">
        <v>33</v>
      </c>
      <c r="V595" t="str">
        <f>IF(OR(B595="Invalid Date",C595="Invalid Date"),"Invalid Date",C595-B595)</f>
        <v>Invalid Date</v>
      </c>
      <c r="W595" s="4" t="str">
        <f>IF(OR(B595="Invalid Date",C595="Invalid Date"),"Invalid Date",IF(C595&lt;B595,"Invalid Shipping","OK"))</f>
        <v>Invalid Date</v>
      </c>
      <c r="X595">
        <f t="shared" si="72"/>
        <v>1</v>
      </c>
      <c r="Y595">
        <f t="shared" si="73"/>
        <v>0.25</v>
      </c>
      <c r="Z595">
        <f t="shared" si="74"/>
        <v>27675.7425</v>
      </c>
      <c r="AA595">
        <f t="shared" si="75"/>
        <v>12104.6625</v>
      </c>
      <c r="AB595" s="6">
        <f t="shared" si="76"/>
        <v>0.4373744444254748</v>
      </c>
      <c r="AC595" t="str">
        <f t="shared" si="77"/>
        <v/>
      </c>
      <c r="AD595" t="str">
        <f t="shared" si="78"/>
        <v/>
      </c>
      <c r="AE595" t="str">
        <f t="shared" si="79"/>
        <v>Invalid</v>
      </c>
    </row>
    <row r="596" spans="1:31">
      <c r="A596" t="s">
        <v>1875</v>
      </c>
      <c r="B596" s="3">
        <v>45554</v>
      </c>
      <c r="C596" s="3">
        <v>45556</v>
      </c>
      <c r="D596" t="s">
        <v>1876</v>
      </c>
      <c r="E596" t="s">
        <v>23</v>
      </c>
      <c r="F596" t="s">
        <v>37</v>
      </c>
      <c r="G596" t="s">
        <v>38</v>
      </c>
      <c r="H596" t="s">
        <v>99</v>
      </c>
      <c r="I596" t="s">
        <v>100</v>
      </c>
      <c r="J596" t="s">
        <v>41</v>
      </c>
      <c r="K596" t="s">
        <v>66</v>
      </c>
      <c r="L596" t="s">
        <v>1877</v>
      </c>
      <c r="M596" t="s">
        <v>50</v>
      </c>
      <c r="N596">
        <v>3</v>
      </c>
      <c r="O596">
        <v>3981.76</v>
      </c>
      <c r="P596">
        <v>0</v>
      </c>
      <c r="Q596">
        <v>11945.28</v>
      </c>
      <c r="R596">
        <v>9700.31</v>
      </c>
      <c r="S596">
        <v>2244.9699999999998</v>
      </c>
      <c r="T596" t="s">
        <v>32</v>
      </c>
      <c r="U596" t="s">
        <v>33</v>
      </c>
      <c r="V596">
        <f>IF(OR(B596="Invalid Date",C596="Invalid Date"),"Invalid Date",C596-B596)</f>
        <v>2</v>
      </c>
      <c r="W596" s="4" t="str">
        <f>IF(OR(B596="Invalid Date",C596="Invalid Date"),"Invalid Date",IF(C596&lt;B596,"Invalid Shipping","OK"))</f>
        <v>OK</v>
      </c>
      <c r="X596">
        <f t="shared" si="72"/>
        <v>1</v>
      </c>
      <c r="Y596">
        <f t="shared" si="73"/>
        <v>0</v>
      </c>
      <c r="Z596">
        <f t="shared" si="74"/>
        <v>11945.28</v>
      </c>
      <c r="AA596">
        <f t="shared" si="75"/>
        <v>2244.9700000000012</v>
      </c>
      <c r="AB596" s="6">
        <f t="shared" si="76"/>
        <v>0.18793782983739193</v>
      </c>
      <c r="AC596" t="str">
        <f t="shared" si="77"/>
        <v>September</v>
      </c>
      <c r="AD596">
        <f t="shared" si="78"/>
        <v>2024</v>
      </c>
      <c r="AE596" t="str">
        <f t="shared" si="79"/>
        <v>Clean</v>
      </c>
    </row>
    <row r="597" spans="1:31">
      <c r="A597" t="s">
        <v>1878</v>
      </c>
      <c r="B597" s="3">
        <v>45963</v>
      </c>
      <c r="C597" s="3">
        <v>45704</v>
      </c>
      <c r="D597" t="s">
        <v>1879</v>
      </c>
      <c r="E597" t="s">
        <v>36</v>
      </c>
      <c r="F597" t="s">
        <v>90</v>
      </c>
      <c r="G597" t="s">
        <v>25</v>
      </c>
      <c r="H597" t="s">
        <v>136</v>
      </c>
      <c r="I597" t="s">
        <v>137</v>
      </c>
      <c r="J597" t="s">
        <v>74</v>
      </c>
      <c r="K597" t="s">
        <v>171</v>
      </c>
      <c r="L597" t="s">
        <v>1880</v>
      </c>
      <c r="M597" t="s">
        <v>50</v>
      </c>
      <c r="N597">
        <v>8</v>
      </c>
      <c r="O597">
        <v>1825.56</v>
      </c>
      <c r="P597">
        <v>0.1</v>
      </c>
      <c r="Q597">
        <v>13144.03</v>
      </c>
      <c r="R597">
        <v>9764</v>
      </c>
      <c r="S597">
        <v>3380.03</v>
      </c>
      <c r="T597" t="s">
        <v>32</v>
      </c>
      <c r="U597" t="s">
        <v>33</v>
      </c>
      <c r="V597">
        <f>IF(OR(B597="Invalid Date",C597="Invalid Date"),"Invalid Date",C597-B597)</f>
        <v>-259</v>
      </c>
      <c r="W597" s="4" t="str">
        <f>IF(OR(B597="Invalid Date",C597="Invalid Date"),"Invalid Date",IF(C597&lt;B597,"Invalid Shipping","OK"))</f>
        <v>Invalid Shipping</v>
      </c>
      <c r="X597">
        <f t="shared" si="72"/>
        <v>1</v>
      </c>
      <c r="Y597">
        <f t="shared" si="73"/>
        <v>0.1</v>
      </c>
      <c r="Z597">
        <f t="shared" si="74"/>
        <v>13144.031999999999</v>
      </c>
      <c r="AA597">
        <f t="shared" si="75"/>
        <v>3380.0319999999992</v>
      </c>
      <c r="AB597" s="6">
        <f t="shared" si="76"/>
        <v>0.25715336055176974</v>
      </c>
      <c r="AC597" t="str">
        <f t="shared" si="77"/>
        <v>November</v>
      </c>
      <c r="AD597">
        <f t="shared" si="78"/>
        <v>2025</v>
      </c>
      <c r="AE597" t="str">
        <f t="shared" si="79"/>
        <v>Invalid</v>
      </c>
    </row>
    <row r="598" spans="1:31">
      <c r="A598" t="s">
        <v>1881</v>
      </c>
      <c r="B598" s="3">
        <v>45392</v>
      </c>
      <c r="C598" s="3" t="s">
        <v>2763</v>
      </c>
      <c r="D598" t="s">
        <v>1882</v>
      </c>
      <c r="E598" t="s">
        <v>89</v>
      </c>
      <c r="F598" t="s">
        <v>24</v>
      </c>
      <c r="G598" t="s">
        <v>54</v>
      </c>
      <c r="H598" t="s">
        <v>185</v>
      </c>
      <c r="I598" t="s">
        <v>186</v>
      </c>
      <c r="J598" t="s">
        <v>41</v>
      </c>
      <c r="K598" t="s">
        <v>66</v>
      </c>
      <c r="L598" t="s">
        <v>1883</v>
      </c>
      <c r="M598" t="s">
        <v>31</v>
      </c>
      <c r="N598">
        <v>9</v>
      </c>
      <c r="O598">
        <v>2723.26</v>
      </c>
      <c r="P598">
        <v>0.25</v>
      </c>
      <c r="Q598">
        <v>18382.009999999998</v>
      </c>
      <c r="R598">
        <v>13108.2</v>
      </c>
      <c r="S598">
        <v>5273.81</v>
      </c>
      <c r="T598" t="s">
        <v>32</v>
      </c>
      <c r="U598" t="s">
        <v>33</v>
      </c>
      <c r="V598" t="str">
        <f>IF(OR(B598="Invalid Date",C598="Invalid Date"),"Invalid Date",C598-B598)</f>
        <v>Invalid Date</v>
      </c>
      <c r="W598" s="4" t="str">
        <f>IF(OR(B598="Invalid Date",C598="Invalid Date"),"Invalid Date",IF(C598&lt;B598,"Invalid Shipping","OK"))</f>
        <v>Invalid Date</v>
      </c>
      <c r="X598">
        <f t="shared" si="72"/>
        <v>1</v>
      </c>
      <c r="Y598">
        <f t="shared" si="73"/>
        <v>0.25</v>
      </c>
      <c r="Z598">
        <f t="shared" si="74"/>
        <v>18382.005000000005</v>
      </c>
      <c r="AA598">
        <f t="shared" si="75"/>
        <v>5273.8050000000039</v>
      </c>
      <c r="AB598" s="6">
        <f t="shared" si="76"/>
        <v>0.28690042245119629</v>
      </c>
      <c r="AC598" t="str">
        <f t="shared" si="77"/>
        <v>April</v>
      </c>
      <c r="AD598">
        <f t="shared" si="78"/>
        <v>2024</v>
      </c>
      <c r="AE598" t="str">
        <f t="shared" si="79"/>
        <v>Invalid</v>
      </c>
    </row>
    <row r="599" spans="1:31">
      <c r="A599" t="s">
        <v>1884</v>
      </c>
      <c r="B599" s="3">
        <v>45846</v>
      </c>
      <c r="C599" s="3">
        <v>45876</v>
      </c>
      <c r="D599" t="s">
        <v>1885</v>
      </c>
      <c r="E599" t="s">
        <v>89</v>
      </c>
      <c r="F599" t="s">
        <v>24</v>
      </c>
      <c r="G599" t="s">
        <v>54</v>
      </c>
      <c r="H599" t="s">
        <v>55</v>
      </c>
      <c r="I599" t="s">
        <v>56</v>
      </c>
      <c r="J599" t="s">
        <v>74</v>
      </c>
      <c r="K599" t="s">
        <v>80</v>
      </c>
      <c r="L599" t="s">
        <v>1886</v>
      </c>
      <c r="M599" t="s">
        <v>44</v>
      </c>
      <c r="N599">
        <v>9</v>
      </c>
      <c r="O599">
        <v>274.88</v>
      </c>
      <c r="P599">
        <v>0.25</v>
      </c>
      <c r="Q599">
        <v>1855.44</v>
      </c>
      <c r="R599">
        <v>1262.74</v>
      </c>
      <c r="S599">
        <v>592.70000000000005</v>
      </c>
      <c r="T599" t="s">
        <v>32</v>
      </c>
      <c r="U599" t="s">
        <v>33</v>
      </c>
      <c r="V599">
        <f>IF(OR(B599="Invalid Date",C599="Invalid Date"),"Invalid Date",C599-B599)</f>
        <v>30</v>
      </c>
      <c r="W599" s="4" t="str">
        <f>IF(OR(B599="Invalid Date",C599="Invalid Date"),"Invalid Date",IF(C599&lt;B599,"Invalid Shipping","OK"))</f>
        <v>OK</v>
      </c>
      <c r="X599">
        <f t="shared" si="72"/>
        <v>1</v>
      </c>
      <c r="Y599">
        <f t="shared" si="73"/>
        <v>0.25</v>
      </c>
      <c r="Z599">
        <f t="shared" si="74"/>
        <v>1855.44</v>
      </c>
      <c r="AA599">
        <f t="shared" si="75"/>
        <v>592.70000000000005</v>
      </c>
      <c r="AB599" s="6">
        <f t="shared" si="76"/>
        <v>0.3194390548872505</v>
      </c>
      <c r="AC599" t="str">
        <f t="shared" si="77"/>
        <v>July</v>
      </c>
      <c r="AD599">
        <f t="shared" si="78"/>
        <v>2025</v>
      </c>
      <c r="AE599" t="str">
        <f t="shared" si="79"/>
        <v>Clean</v>
      </c>
    </row>
    <row r="600" spans="1:31">
      <c r="A600" t="s">
        <v>1887</v>
      </c>
      <c r="B600" s="3" t="s">
        <v>2763</v>
      </c>
      <c r="C600" s="3" t="s">
        <v>2763</v>
      </c>
      <c r="D600" t="s">
        <v>1888</v>
      </c>
      <c r="E600" t="s">
        <v>62</v>
      </c>
      <c r="F600" t="s">
        <v>90</v>
      </c>
      <c r="G600" t="s">
        <v>38</v>
      </c>
      <c r="H600" t="s">
        <v>99</v>
      </c>
      <c r="I600" t="s">
        <v>100</v>
      </c>
      <c r="J600" t="s">
        <v>74</v>
      </c>
      <c r="K600" t="s">
        <v>80</v>
      </c>
      <c r="L600" t="s">
        <v>1889</v>
      </c>
      <c r="M600" t="s">
        <v>44</v>
      </c>
      <c r="N600">
        <v>3</v>
      </c>
      <c r="O600">
        <v>1490.69</v>
      </c>
      <c r="P600">
        <v>0.25</v>
      </c>
      <c r="Q600">
        <v>3354.05</v>
      </c>
      <c r="R600">
        <v>2672.67</v>
      </c>
      <c r="S600">
        <v>681.38</v>
      </c>
      <c r="T600" t="s">
        <v>32</v>
      </c>
      <c r="U600" t="s">
        <v>33</v>
      </c>
      <c r="V600" t="str">
        <f>IF(OR(B600="Invalid Date",C600="Invalid Date"),"Invalid Date",C600-B600)</f>
        <v>Invalid Date</v>
      </c>
      <c r="W600" s="4" t="str">
        <f>IF(OR(B600="Invalid Date",C600="Invalid Date"),"Invalid Date",IF(C600&lt;B600,"Invalid Shipping","OK"))</f>
        <v>Invalid Date</v>
      </c>
      <c r="X600">
        <f t="shared" si="72"/>
        <v>1</v>
      </c>
      <c r="Y600">
        <f t="shared" si="73"/>
        <v>0.25</v>
      </c>
      <c r="Z600">
        <f t="shared" si="74"/>
        <v>3354.0524999999998</v>
      </c>
      <c r="AA600">
        <f t="shared" si="75"/>
        <v>681.38249999999971</v>
      </c>
      <c r="AB600" s="6">
        <f t="shared" si="76"/>
        <v>0.20315200790685289</v>
      </c>
      <c r="AC600" t="str">
        <f t="shared" si="77"/>
        <v/>
      </c>
      <c r="AD600" t="str">
        <f t="shared" si="78"/>
        <v/>
      </c>
      <c r="AE600" t="str">
        <f t="shared" si="79"/>
        <v>Invalid</v>
      </c>
    </row>
    <row r="601" spans="1:31">
      <c r="A601" t="s">
        <v>1890</v>
      </c>
      <c r="B601" s="3">
        <v>45523</v>
      </c>
      <c r="C601" s="3">
        <v>45525</v>
      </c>
      <c r="D601" t="s">
        <v>1891</v>
      </c>
      <c r="E601" t="s">
        <v>53</v>
      </c>
      <c r="F601" t="s">
        <v>24</v>
      </c>
      <c r="G601" t="s">
        <v>25</v>
      </c>
      <c r="H601" t="s">
        <v>122</v>
      </c>
      <c r="I601" t="s">
        <v>123</v>
      </c>
      <c r="J601" t="s">
        <v>74</v>
      </c>
      <c r="K601" t="s">
        <v>171</v>
      </c>
      <c r="L601" t="s">
        <v>1892</v>
      </c>
      <c r="M601" t="s">
        <v>50</v>
      </c>
      <c r="N601">
        <v>3</v>
      </c>
      <c r="O601">
        <v>1103.54</v>
      </c>
      <c r="P601">
        <v>0.25</v>
      </c>
      <c r="Q601">
        <v>2482.9699999999998</v>
      </c>
      <c r="R601">
        <v>1621.72</v>
      </c>
      <c r="S601">
        <v>861.25</v>
      </c>
      <c r="T601" t="s">
        <v>32</v>
      </c>
      <c r="U601" t="s">
        <v>33</v>
      </c>
      <c r="V601">
        <f>IF(OR(B601="Invalid Date",C601="Invalid Date"),"Invalid Date",C601-B601)</f>
        <v>2</v>
      </c>
      <c r="W601" s="4" t="str">
        <f>IF(OR(B601="Invalid Date",C601="Invalid Date"),"Invalid Date",IF(C601&lt;B601,"Invalid Shipping","OK"))</f>
        <v>OK</v>
      </c>
      <c r="X601">
        <f t="shared" si="72"/>
        <v>1</v>
      </c>
      <c r="Y601">
        <f t="shared" si="73"/>
        <v>0.25</v>
      </c>
      <c r="Z601">
        <f t="shared" si="74"/>
        <v>2482.9650000000001</v>
      </c>
      <c r="AA601">
        <f t="shared" si="75"/>
        <v>861.24500000000012</v>
      </c>
      <c r="AB601" s="6">
        <f t="shared" si="76"/>
        <v>0.34686151435884116</v>
      </c>
      <c r="AC601" t="str">
        <f t="shared" si="77"/>
        <v>August</v>
      </c>
      <c r="AD601">
        <f t="shared" si="78"/>
        <v>2024</v>
      </c>
      <c r="AE601" t="str">
        <f t="shared" si="79"/>
        <v>Clean</v>
      </c>
    </row>
    <row r="602" spans="1:31">
      <c r="A602" t="s">
        <v>1893</v>
      </c>
      <c r="B602" s="3">
        <v>45721</v>
      </c>
      <c r="C602" s="3">
        <v>45728</v>
      </c>
      <c r="D602" t="s">
        <v>1894</v>
      </c>
      <c r="E602" t="s">
        <v>62</v>
      </c>
      <c r="F602" t="s">
        <v>90</v>
      </c>
      <c r="G602" t="s">
        <v>63</v>
      </c>
      <c r="H602" t="s">
        <v>72</v>
      </c>
      <c r="I602" t="s">
        <v>73</v>
      </c>
      <c r="J602" t="s">
        <v>28</v>
      </c>
      <c r="K602" t="s">
        <v>124</v>
      </c>
      <c r="L602" t="s">
        <v>1895</v>
      </c>
      <c r="M602" t="s">
        <v>44</v>
      </c>
      <c r="N602">
        <v>3</v>
      </c>
      <c r="O602">
        <v>3682.75</v>
      </c>
      <c r="P602">
        <v>0</v>
      </c>
      <c r="Q602">
        <v>11048.25</v>
      </c>
      <c r="R602">
        <v>9062.7199999999993</v>
      </c>
      <c r="S602">
        <v>1985.53</v>
      </c>
      <c r="T602" t="s">
        <v>32</v>
      </c>
      <c r="U602" t="s">
        <v>33</v>
      </c>
      <c r="V602">
        <f>IF(OR(B602="Invalid Date",C602="Invalid Date"),"Invalid Date",C602-B602)</f>
        <v>7</v>
      </c>
      <c r="W602" s="4" t="str">
        <f>IF(OR(B602="Invalid Date",C602="Invalid Date"),"Invalid Date",IF(C602&lt;B602,"Invalid Shipping","OK"))</f>
        <v>OK</v>
      </c>
      <c r="X602">
        <f t="shared" si="72"/>
        <v>1</v>
      </c>
      <c r="Y602">
        <f t="shared" si="73"/>
        <v>0</v>
      </c>
      <c r="Z602">
        <f t="shared" si="74"/>
        <v>11048.25</v>
      </c>
      <c r="AA602">
        <f t="shared" si="75"/>
        <v>1985.5300000000007</v>
      </c>
      <c r="AB602" s="6">
        <f t="shared" si="76"/>
        <v>0.17971443441268986</v>
      </c>
      <c r="AC602" t="str">
        <f t="shared" si="77"/>
        <v>March</v>
      </c>
      <c r="AD602">
        <f t="shared" si="78"/>
        <v>2025</v>
      </c>
      <c r="AE602" t="str">
        <f t="shared" si="79"/>
        <v>Clean</v>
      </c>
    </row>
    <row r="603" spans="1:31">
      <c r="A603" t="s">
        <v>1896</v>
      </c>
      <c r="B603" s="3">
        <v>45317</v>
      </c>
      <c r="C603" s="3" t="s">
        <v>2763</v>
      </c>
      <c r="D603" t="s">
        <v>1897</v>
      </c>
      <c r="E603" t="s">
        <v>62</v>
      </c>
      <c r="F603" t="s">
        <v>95</v>
      </c>
      <c r="G603" t="s">
        <v>38</v>
      </c>
      <c r="H603" t="s">
        <v>99</v>
      </c>
      <c r="I603" t="s">
        <v>100</v>
      </c>
      <c r="J603" t="s">
        <v>28</v>
      </c>
      <c r="K603" t="s">
        <v>29</v>
      </c>
      <c r="L603" t="s">
        <v>1898</v>
      </c>
      <c r="M603" t="s">
        <v>31</v>
      </c>
      <c r="N603">
        <v>5</v>
      </c>
      <c r="O603">
        <v>1615.03</v>
      </c>
      <c r="P603">
        <v>0.2</v>
      </c>
      <c r="Q603">
        <v>6460.12</v>
      </c>
      <c r="R603">
        <v>3604.03</v>
      </c>
      <c r="S603">
        <v>2856.09</v>
      </c>
      <c r="T603" t="s">
        <v>32</v>
      </c>
      <c r="U603" t="s">
        <v>33</v>
      </c>
      <c r="V603" t="str">
        <f>IF(OR(B603="Invalid Date",C603="Invalid Date"),"Invalid Date",C603-B603)</f>
        <v>Invalid Date</v>
      </c>
      <c r="W603" s="4" t="str">
        <f>IF(OR(B603="Invalid Date",C603="Invalid Date"),"Invalid Date",IF(C603&lt;B603,"Invalid Shipping","OK"))</f>
        <v>Invalid Date</v>
      </c>
      <c r="X603">
        <f t="shared" si="72"/>
        <v>1</v>
      </c>
      <c r="Y603">
        <f t="shared" si="73"/>
        <v>0.2</v>
      </c>
      <c r="Z603">
        <f t="shared" si="74"/>
        <v>6460.12</v>
      </c>
      <c r="AA603">
        <f t="shared" si="75"/>
        <v>2856.0899999999997</v>
      </c>
      <c r="AB603" s="6">
        <f t="shared" si="76"/>
        <v>0.44211098245853014</v>
      </c>
      <c r="AC603" t="str">
        <f t="shared" si="77"/>
        <v>January</v>
      </c>
      <c r="AD603">
        <f t="shared" si="78"/>
        <v>2024</v>
      </c>
      <c r="AE603" t="str">
        <f t="shared" si="79"/>
        <v>Invalid</v>
      </c>
    </row>
    <row r="604" spans="1:31">
      <c r="A604" t="s">
        <v>1899</v>
      </c>
      <c r="B604" s="3">
        <v>45588</v>
      </c>
      <c r="C604" s="3">
        <v>45595</v>
      </c>
      <c r="D604" t="s">
        <v>1900</v>
      </c>
      <c r="E604" t="s">
        <v>128</v>
      </c>
      <c r="F604" t="s">
        <v>24</v>
      </c>
      <c r="G604" t="s">
        <v>38</v>
      </c>
      <c r="H604" t="s">
        <v>228</v>
      </c>
      <c r="I604" t="s">
        <v>229</v>
      </c>
      <c r="J604" t="s">
        <v>74</v>
      </c>
      <c r="K604" t="s">
        <v>80</v>
      </c>
      <c r="L604" t="s">
        <v>1901</v>
      </c>
      <c r="M604" t="s">
        <v>31</v>
      </c>
      <c r="N604">
        <v>9</v>
      </c>
      <c r="O604">
        <v>3423.82</v>
      </c>
      <c r="P604">
        <v>0.15</v>
      </c>
      <c r="Q604">
        <v>26192.22</v>
      </c>
      <c r="R604">
        <v>20795.55</v>
      </c>
      <c r="S604">
        <v>5396.67</v>
      </c>
      <c r="T604" t="s">
        <v>32</v>
      </c>
      <c r="U604" t="s">
        <v>33</v>
      </c>
      <c r="V604">
        <f>IF(OR(B604="Invalid Date",C604="Invalid Date"),"Invalid Date",C604-B604)</f>
        <v>7</v>
      </c>
      <c r="W604" s="4" t="str">
        <f>IF(OR(B604="Invalid Date",C604="Invalid Date"),"Invalid Date",IF(C604&lt;B604,"Invalid Shipping","OK"))</f>
        <v>OK</v>
      </c>
      <c r="X604">
        <f t="shared" si="72"/>
        <v>1</v>
      </c>
      <c r="Y604">
        <f t="shared" si="73"/>
        <v>0.15</v>
      </c>
      <c r="Z604">
        <f t="shared" si="74"/>
        <v>26192.223000000002</v>
      </c>
      <c r="AA604">
        <f t="shared" si="75"/>
        <v>5396.6730000000025</v>
      </c>
      <c r="AB604" s="6">
        <f t="shared" si="76"/>
        <v>0.20604104508426041</v>
      </c>
      <c r="AC604" t="str">
        <f t="shared" si="77"/>
        <v>October</v>
      </c>
      <c r="AD604">
        <f t="shared" si="78"/>
        <v>2024</v>
      </c>
      <c r="AE604" t="str">
        <f t="shared" si="79"/>
        <v>Clean</v>
      </c>
    </row>
    <row r="605" spans="1:31">
      <c r="A605" t="s">
        <v>1902</v>
      </c>
      <c r="B605" s="3">
        <v>45717</v>
      </c>
      <c r="C605" s="3">
        <v>45668</v>
      </c>
      <c r="D605" t="s">
        <v>334</v>
      </c>
      <c r="E605" t="s">
        <v>71</v>
      </c>
      <c r="F605" t="s">
        <v>90</v>
      </c>
      <c r="G605" t="s">
        <v>38</v>
      </c>
      <c r="H605" t="s">
        <v>145</v>
      </c>
      <c r="I605" t="s">
        <v>146</v>
      </c>
      <c r="J605" t="s">
        <v>74</v>
      </c>
      <c r="K605" t="s">
        <v>75</v>
      </c>
      <c r="L605" t="s">
        <v>1903</v>
      </c>
      <c r="M605" t="s">
        <v>50</v>
      </c>
      <c r="N605">
        <v>8</v>
      </c>
      <c r="O605">
        <v>2574.29</v>
      </c>
      <c r="P605">
        <v>0.05</v>
      </c>
      <c r="Q605">
        <v>19564.599999999999</v>
      </c>
      <c r="R605">
        <v>11154.59</v>
      </c>
      <c r="S605">
        <v>8410.01</v>
      </c>
      <c r="T605" t="s">
        <v>111</v>
      </c>
      <c r="U605" t="s">
        <v>68</v>
      </c>
      <c r="V605">
        <f>IF(OR(B605="Invalid Date",C605="Invalid Date"),"Invalid Date",C605-B605)</f>
        <v>-49</v>
      </c>
      <c r="W605" s="4" t="str">
        <f>IF(OR(B605="Invalid Date",C605="Invalid Date"),"Invalid Date",IF(C605&lt;B605,"Invalid Shipping","OK"))</f>
        <v>Invalid Shipping</v>
      </c>
      <c r="X605">
        <f t="shared" si="72"/>
        <v>1</v>
      </c>
      <c r="Y605">
        <f t="shared" si="73"/>
        <v>0.05</v>
      </c>
      <c r="Z605">
        <f t="shared" si="74"/>
        <v>19564.603999999999</v>
      </c>
      <c r="AA605">
        <f t="shared" si="75"/>
        <v>8410.0139999999992</v>
      </c>
      <c r="AB605" s="6">
        <f t="shared" si="76"/>
        <v>0.42985863654587642</v>
      </c>
      <c r="AC605" t="str">
        <f t="shared" si="77"/>
        <v>March</v>
      </c>
      <c r="AD605">
        <f t="shared" si="78"/>
        <v>2025</v>
      </c>
      <c r="AE605" t="str">
        <f t="shared" si="79"/>
        <v>Invalid</v>
      </c>
    </row>
    <row r="606" spans="1:31">
      <c r="A606" t="s">
        <v>1904</v>
      </c>
      <c r="B606" s="3">
        <v>45693</v>
      </c>
      <c r="C606" s="3">
        <v>45810</v>
      </c>
      <c r="D606" t="s">
        <v>1905</v>
      </c>
      <c r="E606" t="s">
        <v>62</v>
      </c>
      <c r="F606" t="s">
        <v>24</v>
      </c>
      <c r="G606" t="s">
        <v>63</v>
      </c>
      <c r="H606" t="s">
        <v>72</v>
      </c>
      <c r="I606" t="s">
        <v>73</v>
      </c>
      <c r="J606" t="s">
        <v>28</v>
      </c>
      <c r="K606" t="s">
        <v>153</v>
      </c>
      <c r="L606" t="s">
        <v>1906</v>
      </c>
      <c r="M606" t="s">
        <v>44</v>
      </c>
      <c r="N606">
        <v>3</v>
      </c>
      <c r="O606">
        <v>1076.3</v>
      </c>
      <c r="P606">
        <v>0</v>
      </c>
      <c r="Q606">
        <v>3228.9</v>
      </c>
      <c r="R606">
        <v>1853.23</v>
      </c>
      <c r="S606">
        <v>1375.67</v>
      </c>
      <c r="T606" t="s">
        <v>32</v>
      </c>
      <c r="U606" t="s">
        <v>33</v>
      </c>
      <c r="V606">
        <f>IF(OR(B606="Invalid Date",C606="Invalid Date"),"Invalid Date",C606-B606)</f>
        <v>117</v>
      </c>
      <c r="W606" s="4" t="str">
        <f>IF(OR(B606="Invalid Date",C606="Invalid Date"),"Invalid Date",IF(C606&lt;B606,"Invalid Shipping","OK"))</f>
        <v>OK</v>
      </c>
      <c r="X606">
        <f t="shared" si="72"/>
        <v>1</v>
      </c>
      <c r="Y606">
        <f t="shared" si="73"/>
        <v>0</v>
      </c>
      <c r="Z606">
        <f t="shared" si="74"/>
        <v>3228.8999999999996</v>
      </c>
      <c r="AA606">
        <f t="shared" si="75"/>
        <v>1375.6699999999996</v>
      </c>
      <c r="AB606" s="6">
        <f t="shared" si="76"/>
        <v>0.42604911889497965</v>
      </c>
      <c r="AC606" t="str">
        <f t="shared" si="77"/>
        <v>February</v>
      </c>
      <c r="AD606">
        <f t="shared" si="78"/>
        <v>2025</v>
      </c>
      <c r="AE606" t="str">
        <f t="shared" si="79"/>
        <v>Clean</v>
      </c>
    </row>
    <row r="607" spans="1:31">
      <c r="A607" t="s">
        <v>1907</v>
      </c>
      <c r="B607" s="3">
        <v>45847</v>
      </c>
      <c r="C607" s="3">
        <v>45851</v>
      </c>
      <c r="D607" t="s">
        <v>1908</v>
      </c>
      <c r="E607" t="s">
        <v>264</v>
      </c>
      <c r="F607" t="s">
        <v>90</v>
      </c>
      <c r="G607" t="s">
        <v>63</v>
      </c>
      <c r="H607" t="s">
        <v>190</v>
      </c>
      <c r="I607" t="s">
        <v>191</v>
      </c>
      <c r="J607" t="s">
        <v>41</v>
      </c>
      <c r="K607" t="s">
        <v>57</v>
      </c>
      <c r="L607" t="s">
        <v>1909</v>
      </c>
      <c r="M607" t="s">
        <v>31</v>
      </c>
      <c r="N607">
        <v>5</v>
      </c>
      <c r="O607">
        <v>1680.01</v>
      </c>
      <c r="P607" t="s">
        <v>767</v>
      </c>
      <c r="Q607">
        <v>7560.04</v>
      </c>
      <c r="R607">
        <v>6448.05</v>
      </c>
      <c r="S607">
        <v>1111.99</v>
      </c>
      <c r="T607" t="s">
        <v>32</v>
      </c>
      <c r="U607" t="s">
        <v>68</v>
      </c>
      <c r="V607">
        <f>IF(OR(B607="Invalid Date",C607="Invalid Date"),"Invalid Date",C607-B607)</f>
        <v>4</v>
      </c>
      <c r="W607" s="4" t="str">
        <f>IF(OR(B607="Invalid Date",C607="Invalid Date"),"Invalid Date",IF(C607&lt;B607,"Invalid Shipping","OK"))</f>
        <v>OK</v>
      </c>
      <c r="X607">
        <f t="shared" si="72"/>
        <v>1</v>
      </c>
      <c r="Y607" t="str">
        <f t="shared" si="73"/>
        <v>Invalid</v>
      </c>
      <c r="Z607" t="str">
        <f t="shared" si="74"/>
        <v/>
      </c>
      <c r="AA607" t="str">
        <f t="shared" si="75"/>
        <v/>
      </c>
      <c r="AB607" s="6" t="str">
        <f t="shared" si="76"/>
        <v/>
      </c>
      <c r="AC607" t="str">
        <f t="shared" si="77"/>
        <v>July</v>
      </c>
      <c r="AD607">
        <f t="shared" si="78"/>
        <v>2025</v>
      </c>
      <c r="AE607" t="str">
        <f t="shared" si="79"/>
        <v>Invalid</v>
      </c>
    </row>
    <row r="608" spans="1:31">
      <c r="A608" t="s">
        <v>1910</v>
      </c>
      <c r="B608" s="3">
        <v>45710</v>
      </c>
      <c r="C608" s="3" t="s">
        <v>2763</v>
      </c>
      <c r="D608" t="s">
        <v>1911</v>
      </c>
      <c r="E608" t="s">
        <v>118</v>
      </c>
      <c r="F608" t="s">
        <v>95</v>
      </c>
      <c r="G608" t="s">
        <v>63</v>
      </c>
      <c r="H608" t="s">
        <v>72</v>
      </c>
      <c r="I608" t="s">
        <v>73</v>
      </c>
      <c r="J608" t="s">
        <v>74</v>
      </c>
      <c r="K608" t="s">
        <v>80</v>
      </c>
      <c r="L608" t="s">
        <v>1912</v>
      </c>
      <c r="M608" t="s">
        <v>44</v>
      </c>
      <c r="N608">
        <v>3</v>
      </c>
      <c r="O608">
        <v>3890.81</v>
      </c>
      <c r="P608">
        <v>0.25</v>
      </c>
      <c r="Q608">
        <v>8754.32</v>
      </c>
      <c r="R608">
        <v>6238.9</v>
      </c>
      <c r="S608">
        <v>2515.42</v>
      </c>
      <c r="T608" t="s">
        <v>32</v>
      </c>
      <c r="U608" t="s">
        <v>33</v>
      </c>
      <c r="V608" t="str">
        <f>IF(OR(B608="Invalid Date",C608="Invalid Date"),"Invalid Date",C608-B608)</f>
        <v>Invalid Date</v>
      </c>
      <c r="W608" s="4" t="str">
        <f>IF(OR(B608="Invalid Date",C608="Invalid Date"),"Invalid Date",IF(C608&lt;B608,"Invalid Shipping","OK"))</f>
        <v>Invalid Date</v>
      </c>
      <c r="X608">
        <f t="shared" si="72"/>
        <v>1</v>
      </c>
      <c r="Y608">
        <f t="shared" si="73"/>
        <v>0.25</v>
      </c>
      <c r="Z608">
        <f t="shared" si="74"/>
        <v>8754.3225000000002</v>
      </c>
      <c r="AA608">
        <f t="shared" si="75"/>
        <v>2515.4225000000006</v>
      </c>
      <c r="AB608" s="6">
        <f t="shared" si="76"/>
        <v>0.28733491369549163</v>
      </c>
      <c r="AC608" t="str">
        <f t="shared" si="77"/>
        <v>February</v>
      </c>
      <c r="AD608">
        <f t="shared" si="78"/>
        <v>2025</v>
      </c>
      <c r="AE608" t="str">
        <f t="shared" si="79"/>
        <v>Invalid</v>
      </c>
    </row>
    <row r="609" spans="1:31">
      <c r="A609" t="s">
        <v>1913</v>
      </c>
      <c r="B609" s="3">
        <v>45704</v>
      </c>
      <c r="C609" s="3">
        <v>45710</v>
      </c>
      <c r="D609" t="s">
        <v>1914</v>
      </c>
      <c r="E609" t="s">
        <v>132</v>
      </c>
      <c r="F609" t="s">
        <v>95</v>
      </c>
      <c r="G609" t="s">
        <v>38</v>
      </c>
      <c r="H609" t="s">
        <v>145</v>
      </c>
      <c r="I609" t="s">
        <v>146</v>
      </c>
      <c r="J609" t="s">
        <v>28</v>
      </c>
      <c r="K609" t="s">
        <v>124</v>
      </c>
      <c r="L609" t="s">
        <v>1915</v>
      </c>
      <c r="M609" t="s">
        <v>44</v>
      </c>
      <c r="N609">
        <v>5</v>
      </c>
      <c r="O609">
        <v>954.67</v>
      </c>
      <c r="P609">
        <v>0.15</v>
      </c>
      <c r="Q609">
        <v>4057.35</v>
      </c>
      <c r="R609">
        <v>2862.03</v>
      </c>
      <c r="S609">
        <v>1195.32</v>
      </c>
      <c r="T609" t="s">
        <v>32</v>
      </c>
      <c r="U609" t="s">
        <v>33</v>
      </c>
      <c r="V609">
        <f>IF(OR(B609="Invalid Date",C609="Invalid Date"),"Invalid Date",C609-B609)</f>
        <v>6</v>
      </c>
      <c r="W609" s="4" t="str">
        <f>IF(OR(B609="Invalid Date",C609="Invalid Date"),"Invalid Date",IF(C609&lt;B609,"Invalid Shipping","OK"))</f>
        <v>OK</v>
      </c>
      <c r="X609">
        <f t="shared" si="72"/>
        <v>1</v>
      </c>
      <c r="Y609">
        <f t="shared" si="73"/>
        <v>0.15</v>
      </c>
      <c r="Z609">
        <f t="shared" si="74"/>
        <v>4057.3474999999994</v>
      </c>
      <c r="AA609">
        <f t="shared" si="75"/>
        <v>1195.3174999999992</v>
      </c>
      <c r="AB609" s="6">
        <f t="shared" si="76"/>
        <v>0.29460565061286947</v>
      </c>
      <c r="AC609" t="str">
        <f t="shared" si="77"/>
        <v>February</v>
      </c>
      <c r="AD609">
        <f t="shared" si="78"/>
        <v>2025</v>
      </c>
      <c r="AE609" t="str">
        <f t="shared" si="79"/>
        <v>Clean</v>
      </c>
    </row>
    <row r="610" spans="1:31">
      <c r="A610" t="s">
        <v>1916</v>
      </c>
      <c r="B610" s="3">
        <v>45464</v>
      </c>
      <c r="C610" s="3">
        <v>45466</v>
      </c>
      <c r="D610" t="s">
        <v>1694</v>
      </c>
      <c r="E610" t="s">
        <v>23</v>
      </c>
      <c r="F610" t="s">
        <v>95</v>
      </c>
      <c r="G610" t="s">
        <v>63</v>
      </c>
      <c r="H610" t="s">
        <v>190</v>
      </c>
      <c r="I610" t="s">
        <v>191</v>
      </c>
      <c r="J610" t="s">
        <v>41</v>
      </c>
      <c r="K610" t="s">
        <v>57</v>
      </c>
      <c r="L610" t="s">
        <v>1917</v>
      </c>
      <c r="M610" t="s">
        <v>31</v>
      </c>
      <c r="N610">
        <v>9</v>
      </c>
      <c r="O610">
        <v>2153.75</v>
      </c>
      <c r="P610">
        <v>0</v>
      </c>
      <c r="Q610">
        <v>19383.75</v>
      </c>
      <c r="R610">
        <v>11667.43</v>
      </c>
      <c r="S610">
        <v>7716.32</v>
      </c>
      <c r="T610" t="s">
        <v>32</v>
      </c>
      <c r="U610" t="s">
        <v>33</v>
      </c>
      <c r="V610">
        <f>IF(OR(B610="Invalid Date",C610="Invalid Date"),"Invalid Date",C610-B610)</f>
        <v>2</v>
      </c>
      <c r="W610" s="4" t="str">
        <f>IF(OR(B610="Invalid Date",C610="Invalid Date"),"Invalid Date",IF(C610&lt;B610,"Invalid Shipping","OK"))</f>
        <v>OK</v>
      </c>
      <c r="X610">
        <f t="shared" si="72"/>
        <v>1</v>
      </c>
      <c r="Y610">
        <f t="shared" si="73"/>
        <v>0</v>
      </c>
      <c r="Z610">
        <f t="shared" si="74"/>
        <v>19383.75</v>
      </c>
      <c r="AA610">
        <f t="shared" si="75"/>
        <v>7716.32</v>
      </c>
      <c r="AB610" s="6">
        <f t="shared" si="76"/>
        <v>0.39808189849745274</v>
      </c>
      <c r="AC610" t="str">
        <f t="shared" si="77"/>
        <v>June</v>
      </c>
      <c r="AD610">
        <f t="shared" si="78"/>
        <v>2024</v>
      </c>
      <c r="AE610" t="str">
        <f t="shared" si="79"/>
        <v>Clean</v>
      </c>
    </row>
    <row r="611" spans="1:31">
      <c r="A611" t="s">
        <v>1918</v>
      </c>
      <c r="B611" s="3">
        <v>45665</v>
      </c>
      <c r="C611" s="3">
        <v>45669</v>
      </c>
      <c r="D611" t="s">
        <v>1919</v>
      </c>
      <c r="E611" t="s">
        <v>132</v>
      </c>
      <c r="F611" t="s">
        <v>95</v>
      </c>
      <c r="G611" t="s">
        <v>54</v>
      </c>
      <c r="H611" t="s">
        <v>175</v>
      </c>
      <c r="I611" t="s">
        <v>176</v>
      </c>
      <c r="J611" t="s">
        <v>41</v>
      </c>
      <c r="K611" t="s">
        <v>66</v>
      </c>
      <c r="L611" t="s">
        <v>1920</v>
      </c>
      <c r="M611" t="s">
        <v>59</v>
      </c>
      <c r="N611">
        <v>7</v>
      </c>
      <c r="O611">
        <v>4337.4799999999996</v>
      </c>
      <c r="P611">
        <v>0</v>
      </c>
      <c r="Q611">
        <v>30362.36</v>
      </c>
      <c r="R611">
        <v>25065.4</v>
      </c>
      <c r="S611">
        <v>5296.96</v>
      </c>
      <c r="T611" t="s">
        <v>32</v>
      </c>
      <c r="U611" t="s">
        <v>33</v>
      </c>
      <c r="V611">
        <f>IF(OR(B611="Invalid Date",C611="Invalid Date"),"Invalid Date",C611-B611)</f>
        <v>4</v>
      </c>
      <c r="W611" s="4" t="str">
        <f>IF(OR(B611="Invalid Date",C611="Invalid Date"),"Invalid Date",IF(C611&lt;B611,"Invalid Shipping","OK"))</f>
        <v>OK</v>
      </c>
      <c r="X611">
        <f t="shared" si="72"/>
        <v>1</v>
      </c>
      <c r="Y611">
        <f t="shared" si="73"/>
        <v>0</v>
      </c>
      <c r="Z611">
        <f t="shared" si="74"/>
        <v>30362.359999999997</v>
      </c>
      <c r="AA611">
        <f t="shared" si="75"/>
        <v>5296.9599999999955</v>
      </c>
      <c r="AB611" s="6">
        <f t="shared" si="76"/>
        <v>0.17445811195177174</v>
      </c>
      <c r="AC611" t="str">
        <f t="shared" si="77"/>
        <v>January</v>
      </c>
      <c r="AD611">
        <f t="shared" si="78"/>
        <v>2025</v>
      </c>
      <c r="AE611" t="str">
        <f t="shared" si="79"/>
        <v>Clean</v>
      </c>
    </row>
    <row r="612" spans="1:31">
      <c r="A612" t="s">
        <v>1921</v>
      </c>
      <c r="B612" s="3">
        <v>45432</v>
      </c>
      <c r="C612" s="3" t="s">
        <v>2763</v>
      </c>
      <c r="D612" t="s">
        <v>1366</v>
      </c>
      <c r="E612" t="s">
        <v>23</v>
      </c>
      <c r="F612" t="s">
        <v>95</v>
      </c>
      <c r="G612" t="s">
        <v>63</v>
      </c>
      <c r="H612" t="s">
        <v>72</v>
      </c>
      <c r="I612" t="s">
        <v>73</v>
      </c>
      <c r="J612" t="s">
        <v>41</v>
      </c>
      <c r="K612" t="s">
        <v>66</v>
      </c>
      <c r="L612" t="s">
        <v>1922</v>
      </c>
      <c r="M612" t="s">
        <v>59</v>
      </c>
      <c r="N612">
        <v>1</v>
      </c>
      <c r="O612">
        <v>3032.95</v>
      </c>
      <c r="P612">
        <v>0.1</v>
      </c>
      <c r="Q612">
        <v>2729.65</v>
      </c>
      <c r="R612">
        <v>1715.36</v>
      </c>
      <c r="S612">
        <v>1014.29</v>
      </c>
      <c r="T612" t="s">
        <v>32</v>
      </c>
      <c r="U612" t="s">
        <v>33</v>
      </c>
      <c r="V612" t="str">
        <f>IF(OR(B612="Invalid Date",C612="Invalid Date"),"Invalid Date",C612-B612)</f>
        <v>Invalid Date</v>
      </c>
      <c r="W612" s="4" t="str">
        <f>IF(OR(B612="Invalid Date",C612="Invalid Date"),"Invalid Date",IF(C612&lt;B612,"Invalid Shipping","OK"))</f>
        <v>Invalid Date</v>
      </c>
      <c r="X612">
        <f t="shared" si="72"/>
        <v>1</v>
      </c>
      <c r="Y612">
        <f t="shared" si="73"/>
        <v>0.1</v>
      </c>
      <c r="Z612">
        <f t="shared" si="74"/>
        <v>2729.6549999999997</v>
      </c>
      <c r="AA612">
        <f t="shared" si="75"/>
        <v>1014.2949999999998</v>
      </c>
      <c r="AB612" s="6">
        <f t="shared" si="76"/>
        <v>0.37158358840219735</v>
      </c>
      <c r="AC612" t="str">
        <f t="shared" si="77"/>
        <v>May</v>
      </c>
      <c r="AD612">
        <f t="shared" si="78"/>
        <v>2024</v>
      </c>
      <c r="AE612" t="str">
        <f t="shared" si="79"/>
        <v>Invalid</v>
      </c>
    </row>
    <row r="613" spans="1:31">
      <c r="A613" t="s">
        <v>1923</v>
      </c>
      <c r="B613" s="3">
        <v>45846</v>
      </c>
      <c r="C613" s="3">
        <v>45853</v>
      </c>
      <c r="D613" t="s">
        <v>1924</v>
      </c>
      <c r="E613" t="s">
        <v>62</v>
      </c>
      <c r="F613" t="s">
        <v>37</v>
      </c>
      <c r="G613" t="s">
        <v>25</v>
      </c>
      <c r="H613" t="s">
        <v>26</v>
      </c>
      <c r="I613" t="s">
        <v>27</v>
      </c>
      <c r="J613" t="s">
        <v>28</v>
      </c>
      <c r="K613" t="s">
        <v>153</v>
      </c>
      <c r="L613" t="s">
        <v>1925</v>
      </c>
      <c r="M613" t="s">
        <v>44</v>
      </c>
      <c r="N613">
        <v>8</v>
      </c>
      <c r="O613">
        <v>655.28</v>
      </c>
      <c r="P613">
        <v>0.1</v>
      </c>
      <c r="Q613">
        <v>4718.0200000000004</v>
      </c>
      <c r="R613">
        <v>3908.23</v>
      </c>
      <c r="S613">
        <v>809.79</v>
      </c>
      <c r="T613" t="s">
        <v>32</v>
      </c>
      <c r="U613" t="s">
        <v>33</v>
      </c>
      <c r="V613">
        <f>IF(OR(B613="Invalid Date",C613="Invalid Date"),"Invalid Date",C613-B613)</f>
        <v>7</v>
      </c>
      <c r="W613" s="4" t="str">
        <f>IF(OR(B613="Invalid Date",C613="Invalid Date"),"Invalid Date",IF(C613&lt;B613,"Invalid Shipping","OK"))</f>
        <v>OK</v>
      </c>
      <c r="X613">
        <f t="shared" si="72"/>
        <v>1</v>
      </c>
      <c r="Y613">
        <f t="shared" si="73"/>
        <v>0.1</v>
      </c>
      <c r="Z613">
        <f t="shared" si="74"/>
        <v>4718.0159999999996</v>
      </c>
      <c r="AA613">
        <f t="shared" si="75"/>
        <v>809.7859999999996</v>
      </c>
      <c r="AB613" s="6">
        <f t="shared" si="76"/>
        <v>0.17163697622051297</v>
      </c>
      <c r="AC613" t="str">
        <f t="shared" si="77"/>
        <v>July</v>
      </c>
      <c r="AD613">
        <f t="shared" si="78"/>
        <v>2025</v>
      </c>
      <c r="AE613" t="str">
        <f t="shared" si="79"/>
        <v>Clean</v>
      </c>
    </row>
    <row r="614" spans="1:31">
      <c r="A614" t="s">
        <v>1926</v>
      </c>
      <c r="B614" s="3">
        <v>45753</v>
      </c>
      <c r="C614" s="3">
        <v>45760</v>
      </c>
      <c r="D614" t="s">
        <v>1927</v>
      </c>
      <c r="E614" t="s">
        <v>89</v>
      </c>
      <c r="F614" t="s">
        <v>24</v>
      </c>
      <c r="G614" t="s">
        <v>2767</v>
      </c>
      <c r="H614" t="s">
        <v>39</v>
      </c>
      <c r="I614" t="s">
        <v>40</v>
      </c>
      <c r="J614" t="s">
        <v>74</v>
      </c>
      <c r="K614" t="s">
        <v>171</v>
      </c>
      <c r="L614" t="s">
        <v>1928</v>
      </c>
      <c r="M614" t="s">
        <v>59</v>
      </c>
      <c r="N614">
        <v>1</v>
      </c>
      <c r="O614">
        <v>3844.01</v>
      </c>
      <c r="P614">
        <v>0</v>
      </c>
      <c r="Q614">
        <v>3844.01</v>
      </c>
      <c r="R614">
        <v>2195.79</v>
      </c>
      <c r="S614">
        <v>1648.22</v>
      </c>
      <c r="T614" t="s">
        <v>32</v>
      </c>
      <c r="U614" t="s">
        <v>33</v>
      </c>
      <c r="V614">
        <f>IF(OR(B614="Invalid Date",C614="Invalid Date"),"Invalid Date",C614-B614)</f>
        <v>7</v>
      </c>
      <c r="W614" s="4" t="str">
        <f>IF(OR(B614="Invalid Date",C614="Invalid Date"),"Invalid Date",IF(C614&lt;B614,"Invalid Shipping","OK"))</f>
        <v>OK</v>
      </c>
      <c r="X614">
        <f t="shared" si="72"/>
        <v>1</v>
      </c>
      <c r="Y614">
        <f t="shared" si="73"/>
        <v>0</v>
      </c>
      <c r="Z614">
        <f t="shared" si="74"/>
        <v>3844.01</v>
      </c>
      <c r="AA614">
        <f t="shared" si="75"/>
        <v>1648.2200000000003</v>
      </c>
      <c r="AB614" s="6">
        <f t="shared" si="76"/>
        <v>0.42877619985379856</v>
      </c>
      <c r="AC614" t="str">
        <f t="shared" si="77"/>
        <v>April</v>
      </c>
      <c r="AD614">
        <f t="shared" si="78"/>
        <v>2025</v>
      </c>
      <c r="AE614" t="str">
        <f t="shared" si="79"/>
        <v>Warning</v>
      </c>
    </row>
    <row r="615" spans="1:31">
      <c r="A615" t="s">
        <v>1929</v>
      </c>
      <c r="B615" s="3">
        <v>45570</v>
      </c>
      <c r="C615" s="3">
        <v>45575</v>
      </c>
      <c r="D615" t="s">
        <v>1930</v>
      </c>
      <c r="E615" t="s">
        <v>162</v>
      </c>
      <c r="F615" t="s">
        <v>95</v>
      </c>
      <c r="G615" t="s">
        <v>63</v>
      </c>
      <c r="H615" t="s">
        <v>180</v>
      </c>
      <c r="I615" t="s">
        <v>181</v>
      </c>
      <c r="J615" t="s">
        <v>74</v>
      </c>
      <c r="K615" t="s">
        <v>274</v>
      </c>
      <c r="L615" t="s">
        <v>1931</v>
      </c>
      <c r="M615" t="s">
        <v>44</v>
      </c>
      <c r="N615">
        <v>9</v>
      </c>
      <c r="O615">
        <v>3361.3</v>
      </c>
      <c r="P615">
        <v>0.25</v>
      </c>
      <c r="Q615">
        <v>22688.78</v>
      </c>
      <c r="R615">
        <v>14672.41</v>
      </c>
      <c r="S615">
        <v>8016.37</v>
      </c>
      <c r="T615" t="s">
        <v>32</v>
      </c>
      <c r="U615" t="s">
        <v>33</v>
      </c>
      <c r="V615">
        <f>IF(OR(B615="Invalid Date",C615="Invalid Date"),"Invalid Date",C615-B615)</f>
        <v>5</v>
      </c>
      <c r="W615" s="4" t="str">
        <f>IF(OR(B615="Invalid Date",C615="Invalid Date"),"Invalid Date",IF(C615&lt;B615,"Invalid Shipping","OK"))</f>
        <v>OK</v>
      </c>
      <c r="X615">
        <f t="shared" si="72"/>
        <v>1</v>
      </c>
      <c r="Y615">
        <f t="shared" si="73"/>
        <v>0.25</v>
      </c>
      <c r="Z615">
        <f t="shared" si="74"/>
        <v>22688.775000000001</v>
      </c>
      <c r="AA615">
        <f t="shared" si="75"/>
        <v>8016.3650000000016</v>
      </c>
      <c r="AB615" s="6">
        <f t="shared" si="76"/>
        <v>0.35331854628555315</v>
      </c>
      <c r="AC615" t="str">
        <f t="shared" si="77"/>
        <v>October</v>
      </c>
      <c r="AD615">
        <f t="shared" si="78"/>
        <v>2024</v>
      </c>
      <c r="AE615" t="str">
        <f t="shared" si="79"/>
        <v>Clean</v>
      </c>
    </row>
    <row r="616" spans="1:31">
      <c r="A616" t="s">
        <v>1932</v>
      </c>
      <c r="B616" s="3">
        <v>45333</v>
      </c>
      <c r="C616" s="3">
        <v>45341</v>
      </c>
      <c r="D616" t="s">
        <v>1933</v>
      </c>
      <c r="E616" t="s">
        <v>62</v>
      </c>
      <c r="F616" t="s">
        <v>95</v>
      </c>
      <c r="G616" t="s">
        <v>54</v>
      </c>
      <c r="H616" t="s">
        <v>55</v>
      </c>
      <c r="I616" t="s">
        <v>56</v>
      </c>
      <c r="J616" t="s">
        <v>41</v>
      </c>
      <c r="K616" t="s">
        <v>66</v>
      </c>
      <c r="L616" t="s">
        <v>1934</v>
      </c>
      <c r="M616" t="s">
        <v>59</v>
      </c>
      <c r="N616">
        <v>8</v>
      </c>
      <c r="O616">
        <v>3398.32</v>
      </c>
      <c r="P616">
        <v>0.25</v>
      </c>
      <c r="Q616">
        <v>20389.919999999998</v>
      </c>
      <c r="R616">
        <v>16661.080000000002</v>
      </c>
      <c r="S616">
        <v>3728.84</v>
      </c>
      <c r="T616" t="s">
        <v>102</v>
      </c>
      <c r="U616" t="s">
        <v>68</v>
      </c>
      <c r="V616">
        <f>IF(OR(B616="Invalid Date",C616="Invalid Date"),"Invalid Date",C616-B616)</f>
        <v>8</v>
      </c>
      <c r="W616" s="4" t="str">
        <f>IF(OR(B616="Invalid Date",C616="Invalid Date"),"Invalid Date",IF(C616&lt;B616,"Invalid Shipping","OK"))</f>
        <v>OK</v>
      </c>
      <c r="X616">
        <f t="shared" si="72"/>
        <v>1</v>
      </c>
      <c r="Y616">
        <f t="shared" si="73"/>
        <v>0.25</v>
      </c>
      <c r="Z616">
        <f t="shared" si="74"/>
        <v>20389.920000000002</v>
      </c>
      <c r="AA616">
        <f t="shared" si="75"/>
        <v>3728.84</v>
      </c>
      <c r="AB616" s="6">
        <f t="shared" si="76"/>
        <v>0.18287663708342161</v>
      </c>
      <c r="AC616" t="str">
        <f t="shared" si="77"/>
        <v>February</v>
      </c>
      <c r="AD616">
        <f t="shared" si="78"/>
        <v>2024</v>
      </c>
      <c r="AE616" t="str">
        <f t="shared" si="79"/>
        <v>Clean</v>
      </c>
    </row>
    <row r="617" spans="1:31">
      <c r="A617" t="s">
        <v>1935</v>
      </c>
      <c r="B617" s="3">
        <v>45569</v>
      </c>
      <c r="C617" s="3">
        <v>45483</v>
      </c>
      <c r="D617" t="s">
        <v>1936</v>
      </c>
      <c r="E617" t="s">
        <v>118</v>
      </c>
      <c r="F617" t="s">
        <v>90</v>
      </c>
      <c r="G617" t="s">
        <v>54</v>
      </c>
      <c r="H617" t="s">
        <v>185</v>
      </c>
      <c r="I617" t="s">
        <v>186</v>
      </c>
      <c r="J617" t="s">
        <v>28</v>
      </c>
      <c r="K617" t="s">
        <v>48</v>
      </c>
      <c r="L617" t="s">
        <v>1937</v>
      </c>
      <c r="M617" t="s">
        <v>31</v>
      </c>
      <c r="N617">
        <v>2</v>
      </c>
      <c r="O617">
        <v>3144.38</v>
      </c>
      <c r="P617">
        <v>0.1</v>
      </c>
      <c r="Q617">
        <v>5904.57</v>
      </c>
      <c r="R617">
        <v>4337.79</v>
      </c>
      <c r="S617">
        <v>1322.09</v>
      </c>
      <c r="T617" t="s">
        <v>32</v>
      </c>
      <c r="U617" t="s">
        <v>33</v>
      </c>
      <c r="V617">
        <f>IF(OR(B617="Invalid Date",C617="Invalid Date"),"Invalid Date",C617-B617)</f>
        <v>-86</v>
      </c>
      <c r="W617" s="4" t="str">
        <f>IF(OR(B617="Invalid Date",C617="Invalid Date"),"Invalid Date",IF(C617&lt;B617,"Invalid Shipping","OK"))</f>
        <v>Invalid Shipping</v>
      </c>
      <c r="X617">
        <f t="shared" si="72"/>
        <v>1</v>
      </c>
      <c r="Y617">
        <f t="shared" si="73"/>
        <v>0.1</v>
      </c>
      <c r="Z617">
        <f t="shared" si="74"/>
        <v>5659.884</v>
      </c>
      <c r="AA617">
        <f t="shared" si="75"/>
        <v>1322.0940000000001</v>
      </c>
      <c r="AB617" s="6">
        <f t="shared" si="76"/>
        <v>0.23359029973052453</v>
      </c>
      <c r="AC617" t="str">
        <f t="shared" si="77"/>
        <v>October</v>
      </c>
      <c r="AD617">
        <f t="shared" si="78"/>
        <v>2024</v>
      </c>
      <c r="AE617" t="str">
        <f t="shared" si="79"/>
        <v>Invalid</v>
      </c>
    </row>
    <row r="618" spans="1:31">
      <c r="A618" t="s">
        <v>1938</v>
      </c>
      <c r="B618" s="3">
        <v>45520</v>
      </c>
      <c r="C618" s="3">
        <v>45523</v>
      </c>
      <c r="D618" t="s">
        <v>1939</v>
      </c>
      <c r="E618" t="s">
        <v>264</v>
      </c>
      <c r="F618" t="s">
        <v>24</v>
      </c>
      <c r="G618" t="s">
        <v>54</v>
      </c>
      <c r="H618" t="s">
        <v>55</v>
      </c>
      <c r="I618" t="s">
        <v>56</v>
      </c>
      <c r="J618" t="s">
        <v>28</v>
      </c>
      <c r="K618" t="s">
        <v>29</v>
      </c>
      <c r="L618" t="s">
        <v>1940</v>
      </c>
      <c r="M618" t="s">
        <v>59</v>
      </c>
      <c r="N618">
        <v>6</v>
      </c>
      <c r="O618">
        <v>3925.55</v>
      </c>
      <c r="P618">
        <v>0.2</v>
      </c>
      <c r="Q618">
        <v>18842.64</v>
      </c>
      <c r="R618">
        <v>11840.58</v>
      </c>
      <c r="S618">
        <v>7002.06</v>
      </c>
      <c r="T618" t="s">
        <v>32</v>
      </c>
      <c r="U618" t="s">
        <v>33</v>
      </c>
      <c r="V618">
        <f>IF(OR(B618="Invalid Date",C618="Invalid Date"),"Invalid Date",C618-B618)</f>
        <v>3</v>
      </c>
      <c r="W618" s="4" t="str">
        <f>IF(OR(B618="Invalid Date",C618="Invalid Date"),"Invalid Date",IF(C618&lt;B618,"Invalid Shipping","OK"))</f>
        <v>OK</v>
      </c>
      <c r="X618">
        <f t="shared" si="72"/>
        <v>1</v>
      </c>
      <c r="Y618">
        <f t="shared" si="73"/>
        <v>0.2</v>
      </c>
      <c r="Z618">
        <f t="shared" si="74"/>
        <v>18842.640000000003</v>
      </c>
      <c r="AA618">
        <f t="shared" si="75"/>
        <v>7002.0600000000031</v>
      </c>
      <c r="AB618" s="6">
        <f t="shared" si="76"/>
        <v>0.37160716332743193</v>
      </c>
      <c r="AC618" t="str">
        <f t="shared" si="77"/>
        <v>August</v>
      </c>
      <c r="AD618">
        <f t="shared" si="78"/>
        <v>2024</v>
      </c>
      <c r="AE618" t="str">
        <f t="shared" si="79"/>
        <v>Clean</v>
      </c>
    </row>
    <row r="619" spans="1:31">
      <c r="A619" t="s">
        <v>1941</v>
      </c>
      <c r="B619" s="3" t="s">
        <v>2763</v>
      </c>
      <c r="C619" s="3">
        <v>45565</v>
      </c>
      <c r="D619" t="s">
        <v>1942</v>
      </c>
      <c r="E619" t="s">
        <v>36</v>
      </c>
      <c r="F619" t="s">
        <v>95</v>
      </c>
      <c r="G619" t="s">
        <v>54</v>
      </c>
      <c r="H619" t="s">
        <v>55</v>
      </c>
      <c r="I619" t="s">
        <v>56</v>
      </c>
      <c r="J619" t="s">
        <v>74</v>
      </c>
      <c r="K619" t="s">
        <v>171</v>
      </c>
      <c r="L619" t="s">
        <v>1943</v>
      </c>
      <c r="M619" t="s">
        <v>59</v>
      </c>
      <c r="N619">
        <v>9</v>
      </c>
      <c r="O619">
        <v>2741.91</v>
      </c>
      <c r="P619">
        <v>0</v>
      </c>
      <c r="Q619">
        <v>24677.19</v>
      </c>
      <c r="R619">
        <v>20350.849999999999</v>
      </c>
      <c r="S619">
        <v>4326.34</v>
      </c>
      <c r="T619" t="s">
        <v>32</v>
      </c>
      <c r="U619" t="s">
        <v>33</v>
      </c>
      <c r="V619" t="str">
        <f>IF(OR(B619="Invalid Date",C619="Invalid Date"),"Invalid Date",C619-B619)</f>
        <v>Invalid Date</v>
      </c>
      <c r="W619" s="4" t="str">
        <f>IF(OR(B619="Invalid Date",C619="Invalid Date"),"Invalid Date",IF(C619&lt;B619,"Invalid Shipping","OK"))</f>
        <v>Invalid Date</v>
      </c>
      <c r="X619">
        <f t="shared" si="72"/>
        <v>1</v>
      </c>
      <c r="Y619">
        <f t="shared" si="73"/>
        <v>0</v>
      </c>
      <c r="Z619">
        <f t="shared" si="74"/>
        <v>24677.19</v>
      </c>
      <c r="AA619">
        <f t="shared" si="75"/>
        <v>4326.34</v>
      </c>
      <c r="AB619" s="6">
        <f t="shared" si="76"/>
        <v>0.17531736798233513</v>
      </c>
      <c r="AC619" t="str">
        <f t="shared" si="77"/>
        <v/>
      </c>
      <c r="AD619" t="str">
        <f t="shared" si="78"/>
        <v/>
      </c>
      <c r="AE619" t="str">
        <f t="shared" si="79"/>
        <v>Invalid</v>
      </c>
    </row>
    <row r="620" spans="1:31">
      <c r="A620" t="s">
        <v>1944</v>
      </c>
      <c r="B620" s="3">
        <v>45496</v>
      </c>
      <c r="C620" s="3">
        <v>45503</v>
      </c>
      <c r="D620" t="s">
        <v>1945</v>
      </c>
      <c r="E620" t="s">
        <v>264</v>
      </c>
      <c r="F620" t="s">
        <v>90</v>
      </c>
      <c r="G620" t="s">
        <v>25</v>
      </c>
      <c r="H620" t="s">
        <v>26</v>
      </c>
      <c r="I620" t="s">
        <v>27</v>
      </c>
      <c r="J620" t="s">
        <v>41</v>
      </c>
      <c r="K620" t="s">
        <v>42</v>
      </c>
      <c r="L620" t="s">
        <v>1946</v>
      </c>
      <c r="M620" t="s">
        <v>44</v>
      </c>
      <c r="N620">
        <v>9</v>
      </c>
      <c r="O620">
        <v>1870.11</v>
      </c>
      <c r="P620">
        <v>0.25</v>
      </c>
      <c r="Q620">
        <v>12623.24</v>
      </c>
      <c r="R620">
        <v>10540.8</v>
      </c>
      <c r="S620">
        <v>2082.44</v>
      </c>
      <c r="T620" t="s">
        <v>155</v>
      </c>
      <c r="U620" t="s">
        <v>68</v>
      </c>
      <c r="V620">
        <f>IF(OR(B620="Invalid Date",C620="Invalid Date"),"Invalid Date",C620-B620)</f>
        <v>7</v>
      </c>
      <c r="W620" s="4" t="str">
        <f>IF(OR(B620="Invalid Date",C620="Invalid Date"),"Invalid Date",IF(C620&lt;B620,"Invalid Shipping","OK"))</f>
        <v>OK</v>
      </c>
      <c r="X620">
        <f t="shared" si="72"/>
        <v>1</v>
      </c>
      <c r="Y620">
        <f t="shared" si="73"/>
        <v>0.25</v>
      </c>
      <c r="Z620">
        <f t="shared" si="74"/>
        <v>12623.242499999998</v>
      </c>
      <c r="AA620">
        <f t="shared" si="75"/>
        <v>2082.4424999999992</v>
      </c>
      <c r="AB620" s="6">
        <f t="shared" si="76"/>
        <v>0.16496890557239943</v>
      </c>
      <c r="AC620" t="str">
        <f t="shared" si="77"/>
        <v>July</v>
      </c>
      <c r="AD620">
        <f t="shared" si="78"/>
        <v>2024</v>
      </c>
      <c r="AE620" t="str">
        <f t="shared" si="79"/>
        <v>Clean</v>
      </c>
    </row>
    <row r="621" spans="1:31">
      <c r="A621" t="s">
        <v>1947</v>
      </c>
      <c r="B621" s="3" t="s">
        <v>2763</v>
      </c>
      <c r="C621" s="3">
        <v>45623</v>
      </c>
      <c r="D621" t="s">
        <v>1948</v>
      </c>
      <c r="E621" t="s">
        <v>114</v>
      </c>
      <c r="F621" t="s">
        <v>90</v>
      </c>
      <c r="G621" t="s">
        <v>54</v>
      </c>
      <c r="H621" t="s">
        <v>247</v>
      </c>
      <c r="I621" t="s">
        <v>248</v>
      </c>
      <c r="J621" t="s">
        <v>28</v>
      </c>
      <c r="K621" t="s">
        <v>153</v>
      </c>
      <c r="L621" t="s">
        <v>1949</v>
      </c>
      <c r="M621" t="s">
        <v>50</v>
      </c>
      <c r="N621">
        <v>1</v>
      </c>
      <c r="O621">
        <v>4251.26</v>
      </c>
      <c r="P621">
        <v>0.2</v>
      </c>
      <c r="Q621">
        <v>3401.01</v>
      </c>
      <c r="R621">
        <v>2917.54</v>
      </c>
      <c r="S621">
        <v>483.47</v>
      </c>
      <c r="T621" t="s">
        <v>102</v>
      </c>
      <c r="U621" t="s">
        <v>103</v>
      </c>
      <c r="V621" t="str">
        <f>IF(OR(B621="Invalid Date",C621="Invalid Date"),"Invalid Date",C621-B621)</f>
        <v>Invalid Date</v>
      </c>
      <c r="W621" s="4" t="str">
        <f>IF(OR(B621="Invalid Date",C621="Invalid Date"),"Invalid Date",IF(C621&lt;B621,"Invalid Shipping","OK"))</f>
        <v>Invalid Date</v>
      </c>
      <c r="X621">
        <f t="shared" si="72"/>
        <v>1</v>
      </c>
      <c r="Y621">
        <f t="shared" si="73"/>
        <v>0.2</v>
      </c>
      <c r="Z621">
        <f t="shared" si="74"/>
        <v>3401.0080000000003</v>
      </c>
      <c r="AA621">
        <f t="shared" si="75"/>
        <v>483.4680000000003</v>
      </c>
      <c r="AB621" s="6">
        <f t="shared" si="76"/>
        <v>0.14215432601158254</v>
      </c>
      <c r="AC621" t="str">
        <f t="shared" si="77"/>
        <v/>
      </c>
      <c r="AD621" t="str">
        <f t="shared" si="78"/>
        <v/>
      </c>
      <c r="AE621" t="str">
        <f t="shared" si="79"/>
        <v>Invalid</v>
      </c>
    </row>
    <row r="622" spans="1:31">
      <c r="A622" t="s">
        <v>1950</v>
      </c>
      <c r="B622" s="3">
        <v>45522</v>
      </c>
      <c r="C622" s="3" t="s">
        <v>2763</v>
      </c>
      <c r="D622" t="s">
        <v>1951</v>
      </c>
      <c r="E622" t="s">
        <v>71</v>
      </c>
      <c r="F622" t="s">
        <v>24</v>
      </c>
      <c r="G622" t="s">
        <v>25</v>
      </c>
      <c r="H622" t="s">
        <v>136</v>
      </c>
      <c r="I622" t="s">
        <v>137</v>
      </c>
      <c r="J622" t="s">
        <v>74</v>
      </c>
      <c r="K622" t="s">
        <v>274</v>
      </c>
      <c r="L622" t="s">
        <v>1952</v>
      </c>
      <c r="M622" t="s">
        <v>59</v>
      </c>
      <c r="N622">
        <v>9</v>
      </c>
      <c r="O622">
        <v>734.34</v>
      </c>
      <c r="P622">
        <v>0</v>
      </c>
      <c r="Q622">
        <v>6609.06</v>
      </c>
      <c r="R622">
        <v>4946.78</v>
      </c>
      <c r="S622">
        <v>1662.28</v>
      </c>
      <c r="T622" t="s">
        <v>32</v>
      </c>
      <c r="U622" t="s">
        <v>33</v>
      </c>
      <c r="V622" t="str">
        <f>IF(OR(B622="Invalid Date",C622="Invalid Date"),"Invalid Date",C622-B622)</f>
        <v>Invalid Date</v>
      </c>
      <c r="W622" s="4" t="str">
        <f>IF(OR(B622="Invalid Date",C622="Invalid Date"),"Invalid Date",IF(C622&lt;B622,"Invalid Shipping","OK"))</f>
        <v>Invalid Date</v>
      </c>
      <c r="X622">
        <f t="shared" si="72"/>
        <v>1</v>
      </c>
      <c r="Y622">
        <f t="shared" si="73"/>
        <v>0</v>
      </c>
      <c r="Z622">
        <f t="shared" si="74"/>
        <v>6609.06</v>
      </c>
      <c r="AA622">
        <f t="shared" si="75"/>
        <v>1662.2800000000007</v>
      </c>
      <c r="AB622" s="6">
        <f t="shared" si="76"/>
        <v>0.25151534408826681</v>
      </c>
      <c r="AC622" t="str">
        <f t="shared" si="77"/>
        <v>August</v>
      </c>
      <c r="AD622">
        <f t="shared" si="78"/>
        <v>2024</v>
      </c>
      <c r="AE622" t="str">
        <f t="shared" si="79"/>
        <v>Invalid</v>
      </c>
    </row>
    <row r="623" spans="1:31">
      <c r="A623" t="s">
        <v>1953</v>
      </c>
      <c r="B623" s="3">
        <v>45624</v>
      </c>
      <c r="C623" s="3">
        <v>45632</v>
      </c>
      <c r="D623" t="s">
        <v>1954</v>
      </c>
      <c r="E623" t="s">
        <v>89</v>
      </c>
      <c r="F623" t="s">
        <v>24</v>
      </c>
      <c r="G623" t="s">
        <v>63</v>
      </c>
      <c r="H623" t="s">
        <v>64</v>
      </c>
      <c r="I623" t="s">
        <v>65</v>
      </c>
      <c r="J623" t="s">
        <v>41</v>
      </c>
      <c r="K623" t="s">
        <v>66</v>
      </c>
      <c r="L623" t="s">
        <v>1955</v>
      </c>
      <c r="M623" t="s">
        <v>44</v>
      </c>
      <c r="N623">
        <v>5</v>
      </c>
      <c r="O623">
        <v>1092.8399999999999</v>
      </c>
      <c r="P623">
        <v>0</v>
      </c>
      <c r="Q623">
        <v>5464.2</v>
      </c>
      <c r="R623">
        <v>3318.09</v>
      </c>
      <c r="S623">
        <v>2146.11</v>
      </c>
      <c r="T623" t="s">
        <v>32</v>
      </c>
      <c r="U623" t="s">
        <v>33</v>
      </c>
      <c r="V623">
        <f>IF(OR(B623="Invalid Date",C623="Invalid Date"),"Invalid Date",C623-B623)</f>
        <v>8</v>
      </c>
      <c r="W623" s="4" t="str">
        <f>IF(OR(B623="Invalid Date",C623="Invalid Date"),"Invalid Date",IF(C623&lt;B623,"Invalid Shipping","OK"))</f>
        <v>OK</v>
      </c>
      <c r="X623">
        <f t="shared" si="72"/>
        <v>1</v>
      </c>
      <c r="Y623">
        <f t="shared" si="73"/>
        <v>0</v>
      </c>
      <c r="Z623">
        <f t="shared" si="74"/>
        <v>5464.2</v>
      </c>
      <c r="AA623">
        <f t="shared" si="75"/>
        <v>2146.1099999999997</v>
      </c>
      <c r="AB623" s="6">
        <f t="shared" si="76"/>
        <v>0.39275831777753373</v>
      </c>
      <c r="AC623" t="str">
        <f t="shared" si="77"/>
        <v>November</v>
      </c>
      <c r="AD623">
        <f t="shared" si="78"/>
        <v>2024</v>
      </c>
      <c r="AE623" t="str">
        <f t="shared" si="79"/>
        <v>Clean</v>
      </c>
    </row>
    <row r="624" spans="1:31">
      <c r="A624" t="s">
        <v>1956</v>
      </c>
      <c r="B624" s="3">
        <v>45686</v>
      </c>
      <c r="C624" s="3">
        <v>45694</v>
      </c>
      <c r="D624" t="s">
        <v>1957</v>
      </c>
      <c r="E624" t="s">
        <v>71</v>
      </c>
      <c r="F624" t="s">
        <v>24</v>
      </c>
      <c r="G624" t="s">
        <v>38</v>
      </c>
      <c r="H624" t="s">
        <v>145</v>
      </c>
      <c r="I624" t="s">
        <v>146</v>
      </c>
      <c r="J624" t="s">
        <v>28</v>
      </c>
      <c r="K624" t="s">
        <v>124</v>
      </c>
      <c r="L624" t="s">
        <v>1958</v>
      </c>
      <c r="M624" t="s">
        <v>59</v>
      </c>
      <c r="N624">
        <v>4</v>
      </c>
      <c r="O624">
        <v>2759.01</v>
      </c>
      <c r="P624">
        <v>0.05</v>
      </c>
      <c r="Q624">
        <v>10484.24</v>
      </c>
      <c r="R624">
        <v>6680.15</v>
      </c>
      <c r="S624">
        <v>3804.09</v>
      </c>
      <c r="T624" t="s">
        <v>32</v>
      </c>
      <c r="U624" t="s">
        <v>33</v>
      </c>
      <c r="V624">
        <f>IF(OR(B624="Invalid Date",C624="Invalid Date"),"Invalid Date",C624-B624)</f>
        <v>8</v>
      </c>
      <c r="W624" s="4" t="str">
        <f>IF(OR(B624="Invalid Date",C624="Invalid Date"),"Invalid Date",IF(C624&lt;B624,"Invalid Shipping","OK"))</f>
        <v>OK</v>
      </c>
      <c r="X624">
        <f t="shared" si="72"/>
        <v>1</v>
      </c>
      <c r="Y624">
        <f t="shared" si="73"/>
        <v>0.05</v>
      </c>
      <c r="Z624">
        <f t="shared" si="74"/>
        <v>10484.238000000001</v>
      </c>
      <c r="AA624">
        <f t="shared" si="75"/>
        <v>3804.0880000000016</v>
      </c>
      <c r="AB624" s="6">
        <f t="shared" si="76"/>
        <v>0.36283876806306775</v>
      </c>
      <c r="AC624" t="str">
        <f t="shared" si="77"/>
        <v>January</v>
      </c>
      <c r="AD624">
        <f t="shared" si="78"/>
        <v>2025</v>
      </c>
      <c r="AE624" t="str">
        <f t="shared" si="79"/>
        <v>Clean</v>
      </c>
    </row>
    <row r="625" spans="1:31">
      <c r="A625" t="s">
        <v>1959</v>
      </c>
      <c r="B625" s="3">
        <v>45512</v>
      </c>
      <c r="C625" s="3">
        <v>45518</v>
      </c>
      <c r="D625" t="s">
        <v>1960</v>
      </c>
      <c r="E625" t="s">
        <v>71</v>
      </c>
      <c r="F625" t="s">
        <v>95</v>
      </c>
      <c r="G625" t="s">
        <v>25</v>
      </c>
      <c r="H625" t="s">
        <v>122</v>
      </c>
      <c r="I625" t="s">
        <v>123</v>
      </c>
      <c r="J625" t="s">
        <v>28</v>
      </c>
      <c r="K625" t="s">
        <v>124</v>
      </c>
      <c r="L625" t="s">
        <v>1961</v>
      </c>
      <c r="M625" t="s">
        <v>31</v>
      </c>
      <c r="N625">
        <v>8</v>
      </c>
      <c r="O625">
        <v>1359.19</v>
      </c>
      <c r="P625">
        <v>0.05</v>
      </c>
      <c r="Q625">
        <v>10329.84</v>
      </c>
      <c r="R625">
        <v>7512.22</v>
      </c>
      <c r="S625">
        <v>2817.62</v>
      </c>
      <c r="T625" t="s">
        <v>32</v>
      </c>
      <c r="U625" t="s">
        <v>33</v>
      </c>
      <c r="V625">
        <f>IF(OR(B625="Invalid Date",C625="Invalid Date"),"Invalid Date",C625-B625)</f>
        <v>6</v>
      </c>
      <c r="W625" s="4" t="str">
        <f>IF(OR(B625="Invalid Date",C625="Invalid Date"),"Invalid Date",IF(C625&lt;B625,"Invalid Shipping","OK"))</f>
        <v>OK</v>
      </c>
      <c r="X625">
        <f t="shared" si="72"/>
        <v>1</v>
      </c>
      <c r="Y625">
        <f t="shared" si="73"/>
        <v>0.05</v>
      </c>
      <c r="Z625">
        <f t="shared" si="74"/>
        <v>10329.843999999999</v>
      </c>
      <c r="AA625">
        <f t="shared" si="75"/>
        <v>2817.6239999999989</v>
      </c>
      <c r="AB625" s="6">
        <f t="shared" si="76"/>
        <v>0.27276539703794161</v>
      </c>
      <c r="AC625" t="str">
        <f t="shared" si="77"/>
        <v>August</v>
      </c>
      <c r="AD625">
        <f t="shared" si="78"/>
        <v>2024</v>
      </c>
      <c r="AE625" t="str">
        <f t="shared" si="79"/>
        <v>Clean</v>
      </c>
    </row>
    <row r="626" spans="1:31">
      <c r="A626" t="s">
        <v>1962</v>
      </c>
      <c r="B626" s="3" t="s">
        <v>2763</v>
      </c>
      <c r="C626" s="3">
        <v>45323</v>
      </c>
      <c r="D626" t="s">
        <v>1963</v>
      </c>
      <c r="E626" t="s">
        <v>79</v>
      </c>
      <c r="F626" t="s">
        <v>95</v>
      </c>
      <c r="G626" t="s">
        <v>38</v>
      </c>
      <c r="H626" t="s">
        <v>166</v>
      </c>
      <c r="I626" t="s">
        <v>167</v>
      </c>
      <c r="J626" t="s">
        <v>41</v>
      </c>
      <c r="K626" t="s">
        <v>66</v>
      </c>
      <c r="L626" t="s">
        <v>1964</v>
      </c>
      <c r="M626" t="s">
        <v>50</v>
      </c>
      <c r="N626">
        <v>2</v>
      </c>
      <c r="O626">
        <v>4451.03</v>
      </c>
      <c r="P626">
        <v>0.05</v>
      </c>
      <c r="Q626">
        <v>8456.9599999999991</v>
      </c>
      <c r="R626">
        <v>5462.85</v>
      </c>
      <c r="S626">
        <v>2994.11</v>
      </c>
      <c r="T626" t="s">
        <v>32</v>
      </c>
      <c r="U626" t="s">
        <v>33</v>
      </c>
      <c r="V626" t="str">
        <f>IF(OR(B626="Invalid Date",C626="Invalid Date"),"Invalid Date",C626-B626)</f>
        <v>Invalid Date</v>
      </c>
      <c r="W626" s="4" t="str">
        <f>IF(OR(B626="Invalid Date",C626="Invalid Date"),"Invalid Date",IF(C626&lt;B626,"Invalid Shipping","OK"))</f>
        <v>Invalid Date</v>
      </c>
      <c r="X626">
        <f t="shared" si="72"/>
        <v>1</v>
      </c>
      <c r="Y626">
        <f t="shared" si="73"/>
        <v>0.05</v>
      </c>
      <c r="Z626">
        <f t="shared" si="74"/>
        <v>8456.9569999999985</v>
      </c>
      <c r="AA626">
        <f t="shared" si="75"/>
        <v>2994.1069999999982</v>
      </c>
      <c r="AB626" s="6">
        <f t="shared" si="76"/>
        <v>0.35404070282017502</v>
      </c>
      <c r="AC626" t="str">
        <f t="shared" si="77"/>
        <v/>
      </c>
      <c r="AD626" t="str">
        <f t="shared" si="78"/>
        <v/>
      </c>
      <c r="AE626" t="str">
        <f t="shared" si="79"/>
        <v>Invalid</v>
      </c>
    </row>
    <row r="627" spans="1:31">
      <c r="A627" t="s">
        <v>1965</v>
      </c>
      <c r="B627" s="3" t="s">
        <v>2763</v>
      </c>
      <c r="C627" s="3">
        <v>45647</v>
      </c>
      <c r="D627" t="s">
        <v>1966</v>
      </c>
      <c r="E627" t="s">
        <v>162</v>
      </c>
      <c r="F627" t="s">
        <v>90</v>
      </c>
      <c r="G627" t="s">
        <v>63</v>
      </c>
      <c r="H627" t="s">
        <v>26</v>
      </c>
      <c r="I627" t="s">
        <v>109</v>
      </c>
      <c r="J627" t="s">
        <v>41</v>
      </c>
      <c r="K627" t="s">
        <v>66</v>
      </c>
      <c r="L627" t="s">
        <v>1967</v>
      </c>
      <c r="M627" t="s">
        <v>44</v>
      </c>
      <c r="N627">
        <v>3</v>
      </c>
      <c r="O627">
        <v>527.66999999999996</v>
      </c>
      <c r="P627">
        <v>0.2</v>
      </c>
      <c r="Q627">
        <v>1266.4100000000001</v>
      </c>
      <c r="R627">
        <v>983.92</v>
      </c>
      <c r="S627">
        <v>282.49</v>
      </c>
      <c r="T627" t="s">
        <v>32</v>
      </c>
      <c r="U627" t="s">
        <v>33</v>
      </c>
      <c r="V627" t="str">
        <f>IF(OR(B627="Invalid Date",C627="Invalid Date"),"Invalid Date",C627-B627)</f>
        <v>Invalid Date</v>
      </c>
      <c r="W627" s="4" t="str">
        <f>IF(OR(B627="Invalid Date",C627="Invalid Date"),"Invalid Date",IF(C627&lt;B627,"Invalid Shipping","OK"))</f>
        <v>Invalid Date</v>
      </c>
      <c r="X627">
        <f t="shared" si="72"/>
        <v>1</v>
      </c>
      <c r="Y627">
        <f t="shared" si="73"/>
        <v>0.2</v>
      </c>
      <c r="Z627">
        <f t="shared" si="74"/>
        <v>1266.4079999999999</v>
      </c>
      <c r="AA627">
        <f t="shared" si="75"/>
        <v>282.48799999999994</v>
      </c>
      <c r="AB627" s="6">
        <f t="shared" si="76"/>
        <v>0.22306239379410109</v>
      </c>
      <c r="AC627" t="str">
        <f t="shared" si="77"/>
        <v/>
      </c>
      <c r="AD627" t="str">
        <f t="shared" si="78"/>
        <v/>
      </c>
      <c r="AE627" t="str">
        <f t="shared" si="79"/>
        <v>Invalid</v>
      </c>
    </row>
    <row r="628" spans="1:31">
      <c r="A628" t="s">
        <v>1968</v>
      </c>
      <c r="B628" s="3">
        <v>45812</v>
      </c>
      <c r="C628" s="3">
        <v>45844</v>
      </c>
      <c r="D628" t="s">
        <v>1969</v>
      </c>
      <c r="E628" t="s">
        <v>132</v>
      </c>
      <c r="F628" t="s">
        <v>95</v>
      </c>
      <c r="G628" t="s">
        <v>38</v>
      </c>
      <c r="H628" t="s">
        <v>166</v>
      </c>
      <c r="I628" t="s">
        <v>167</v>
      </c>
      <c r="J628" t="s">
        <v>74</v>
      </c>
      <c r="K628" t="s">
        <v>274</v>
      </c>
      <c r="L628" t="s">
        <v>1970</v>
      </c>
      <c r="M628" t="s">
        <v>59</v>
      </c>
      <c r="N628">
        <v>8</v>
      </c>
      <c r="O628">
        <v>1434.13</v>
      </c>
      <c r="P628">
        <v>0</v>
      </c>
      <c r="Q628">
        <v>11473.04</v>
      </c>
      <c r="R628">
        <v>8931.33</v>
      </c>
      <c r="S628">
        <v>2541.71</v>
      </c>
      <c r="T628" t="s">
        <v>111</v>
      </c>
      <c r="U628" t="s">
        <v>103</v>
      </c>
      <c r="V628">
        <f>IF(OR(B628="Invalid Date",C628="Invalid Date"),"Invalid Date",C628-B628)</f>
        <v>32</v>
      </c>
      <c r="W628" s="4" t="str">
        <f>IF(OR(B628="Invalid Date",C628="Invalid Date"),"Invalid Date",IF(C628&lt;B628,"Invalid Shipping","OK"))</f>
        <v>OK</v>
      </c>
      <c r="X628">
        <f t="shared" si="72"/>
        <v>1</v>
      </c>
      <c r="Y628">
        <f t="shared" si="73"/>
        <v>0</v>
      </c>
      <c r="Z628">
        <f t="shared" si="74"/>
        <v>11473.04</v>
      </c>
      <c r="AA628">
        <f t="shared" si="75"/>
        <v>2541.7100000000009</v>
      </c>
      <c r="AB628" s="6">
        <f t="shared" si="76"/>
        <v>0.22153762211236086</v>
      </c>
      <c r="AC628" t="str">
        <f t="shared" si="77"/>
        <v>June</v>
      </c>
      <c r="AD628">
        <f t="shared" si="78"/>
        <v>2025</v>
      </c>
      <c r="AE628" t="str">
        <f t="shared" si="79"/>
        <v>Clean</v>
      </c>
    </row>
    <row r="629" spans="1:31">
      <c r="A629" t="s">
        <v>1971</v>
      </c>
      <c r="B629" s="3" t="s">
        <v>2763</v>
      </c>
      <c r="C629" s="3">
        <v>45709</v>
      </c>
      <c r="D629" t="s">
        <v>1972</v>
      </c>
      <c r="E629" t="s">
        <v>23</v>
      </c>
      <c r="F629" t="s">
        <v>37</v>
      </c>
      <c r="G629" t="s">
        <v>54</v>
      </c>
      <c r="H629" t="s">
        <v>185</v>
      </c>
      <c r="I629" t="s">
        <v>186</v>
      </c>
      <c r="J629" t="s">
        <v>74</v>
      </c>
      <c r="K629" t="s">
        <v>171</v>
      </c>
      <c r="L629" t="s">
        <v>1973</v>
      </c>
      <c r="M629" t="s">
        <v>31</v>
      </c>
      <c r="N629">
        <v>2</v>
      </c>
      <c r="O629">
        <v>2360.02</v>
      </c>
      <c r="P629">
        <v>0.15</v>
      </c>
      <c r="Q629">
        <v>4012.03</v>
      </c>
      <c r="R629">
        <v>3142.92</v>
      </c>
      <c r="S629">
        <v>869.11</v>
      </c>
      <c r="T629" t="s">
        <v>111</v>
      </c>
      <c r="U629" t="s">
        <v>68</v>
      </c>
      <c r="V629" t="str">
        <f>IF(OR(B629="Invalid Date",C629="Invalid Date"),"Invalid Date",C629-B629)</f>
        <v>Invalid Date</v>
      </c>
      <c r="W629" s="4" t="str">
        <f>IF(OR(B629="Invalid Date",C629="Invalid Date"),"Invalid Date",IF(C629&lt;B629,"Invalid Shipping","OK"))</f>
        <v>Invalid Date</v>
      </c>
      <c r="X629">
        <f t="shared" si="72"/>
        <v>1</v>
      </c>
      <c r="Y629">
        <f t="shared" si="73"/>
        <v>0.15</v>
      </c>
      <c r="Z629">
        <f t="shared" si="74"/>
        <v>4012.0339999999997</v>
      </c>
      <c r="AA629">
        <f t="shared" si="75"/>
        <v>869.11399999999958</v>
      </c>
      <c r="AB629" s="6">
        <f t="shared" si="76"/>
        <v>0.21662677833737193</v>
      </c>
      <c r="AC629" t="str">
        <f t="shared" si="77"/>
        <v/>
      </c>
      <c r="AD629" t="str">
        <f t="shared" si="78"/>
        <v/>
      </c>
      <c r="AE629" t="str">
        <f t="shared" si="79"/>
        <v>Invalid</v>
      </c>
    </row>
    <row r="630" spans="1:31">
      <c r="A630" t="s">
        <v>1974</v>
      </c>
      <c r="B630" s="3">
        <v>45935</v>
      </c>
      <c r="C630" s="3">
        <v>45942</v>
      </c>
      <c r="D630" t="s">
        <v>1975</v>
      </c>
      <c r="E630" t="s">
        <v>62</v>
      </c>
      <c r="F630" t="s">
        <v>95</v>
      </c>
      <c r="G630" t="s">
        <v>38</v>
      </c>
      <c r="H630" t="s">
        <v>228</v>
      </c>
      <c r="I630" t="s">
        <v>229</v>
      </c>
      <c r="J630" t="s">
        <v>74</v>
      </c>
      <c r="K630" t="s">
        <v>75</v>
      </c>
      <c r="L630" t="s">
        <v>1976</v>
      </c>
      <c r="M630" t="s">
        <v>44</v>
      </c>
      <c r="N630">
        <v>7</v>
      </c>
      <c r="O630">
        <v>806.67</v>
      </c>
      <c r="P630">
        <v>0.05</v>
      </c>
      <c r="Q630">
        <v>5364.36</v>
      </c>
      <c r="R630">
        <v>4391.29</v>
      </c>
      <c r="S630">
        <v>973.07</v>
      </c>
      <c r="T630" t="s">
        <v>32</v>
      </c>
      <c r="U630" t="s">
        <v>33</v>
      </c>
      <c r="V630">
        <f>IF(OR(B630="Invalid Date",C630="Invalid Date"),"Invalid Date",C630-B630)</f>
        <v>7</v>
      </c>
      <c r="W630" s="4" t="str">
        <f>IF(OR(B630="Invalid Date",C630="Invalid Date"),"Invalid Date",IF(C630&lt;B630,"Invalid Shipping","OK"))</f>
        <v>OK</v>
      </c>
      <c r="X630">
        <f t="shared" si="72"/>
        <v>1</v>
      </c>
      <c r="Y630">
        <f t="shared" si="73"/>
        <v>0.05</v>
      </c>
      <c r="Z630">
        <f t="shared" si="74"/>
        <v>5364.3554999999997</v>
      </c>
      <c r="AA630">
        <f t="shared" si="75"/>
        <v>973.0654999999997</v>
      </c>
      <c r="AB630" s="6">
        <f t="shared" si="76"/>
        <v>0.18139467080434915</v>
      </c>
      <c r="AC630" t="str">
        <f t="shared" si="77"/>
        <v>October</v>
      </c>
      <c r="AD630">
        <f t="shared" si="78"/>
        <v>2025</v>
      </c>
      <c r="AE630" t="str">
        <f t="shared" si="79"/>
        <v>Clean</v>
      </c>
    </row>
    <row r="631" spans="1:31">
      <c r="A631" t="s">
        <v>1977</v>
      </c>
      <c r="B631" s="3">
        <v>45939</v>
      </c>
      <c r="C631" s="3">
        <v>45914</v>
      </c>
      <c r="D631" t="s">
        <v>1978</v>
      </c>
      <c r="E631" t="s">
        <v>53</v>
      </c>
      <c r="F631" t="s">
        <v>95</v>
      </c>
      <c r="G631" t="s">
        <v>63</v>
      </c>
      <c r="H631" t="s">
        <v>180</v>
      </c>
      <c r="I631" t="s">
        <v>181</v>
      </c>
      <c r="J631" t="s">
        <v>41</v>
      </c>
      <c r="K631" t="s">
        <v>42</v>
      </c>
      <c r="L631" t="s">
        <v>1979</v>
      </c>
      <c r="M631" t="s">
        <v>44</v>
      </c>
      <c r="N631">
        <v>3</v>
      </c>
      <c r="O631">
        <v>4198.46</v>
      </c>
      <c r="P631">
        <v>0.15</v>
      </c>
      <c r="Q631">
        <v>10706.07</v>
      </c>
      <c r="R631">
        <v>5927.1</v>
      </c>
      <c r="S631">
        <v>4778.97</v>
      </c>
      <c r="T631" t="s">
        <v>32</v>
      </c>
      <c r="U631" t="s">
        <v>33</v>
      </c>
      <c r="V631">
        <f>IF(OR(B631="Invalid Date",C631="Invalid Date"),"Invalid Date",C631-B631)</f>
        <v>-25</v>
      </c>
      <c r="W631" s="4" t="str">
        <f>IF(OR(B631="Invalid Date",C631="Invalid Date"),"Invalid Date",IF(C631&lt;B631,"Invalid Shipping","OK"))</f>
        <v>Invalid Shipping</v>
      </c>
      <c r="X631">
        <f t="shared" si="72"/>
        <v>1</v>
      </c>
      <c r="Y631">
        <f t="shared" si="73"/>
        <v>0.15</v>
      </c>
      <c r="Z631">
        <f t="shared" si="74"/>
        <v>10706.073</v>
      </c>
      <c r="AA631">
        <f t="shared" si="75"/>
        <v>4778.973</v>
      </c>
      <c r="AB631" s="6">
        <f t="shared" si="76"/>
        <v>0.44637963892082555</v>
      </c>
      <c r="AC631" t="str">
        <f t="shared" si="77"/>
        <v>October</v>
      </c>
      <c r="AD631">
        <f t="shared" si="78"/>
        <v>2025</v>
      </c>
      <c r="AE631" t="str">
        <f t="shared" si="79"/>
        <v>Invalid</v>
      </c>
    </row>
    <row r="632" spans="1:31">
      <c r="A632" t="s">
        <v>1980</v>
      </c>
      <c r="B632" s="3">
        <v>45391</v>
      </c>
      <c r="C632" s="3">
        <v>45392</v>
      </c>
      <c r="D632" t="s">
        <v>1981</v>
      </c>
      <c r="E632" t="s">
        <v>114</v>
      </c>
      <c r="F632" t="s">
        <v>90</v>
      </c>
      <c r="G632" t="s">
        <v>38</v>
      </c>
      <c r="H632" t="s">
        <v>166</v>
      </c>
      <c r="I632" t="s">
        <v>167</v>
      </c>
      <c r="J632" t="s">
        <v>28</v>
      </c>
      <c r="K632" t="s">
        <v>29</v>
      </c>
      <c r="L632" t="s">
        <v>1982</v>
      </c>
      <c r="M632" t="s">
        <v>59</v>
      </c>
      <c r="N632">
        <v>4</v>
      </c>
      <c r="O632">
        <v>3047.05</v>
      </c>
      <c r="P632">
        <v>0.1</v>
      </c>
      <c r="Q632">
        <v>10969.38</v>
      </c>
      <c r="R632">
        <v>9254.4599999999991</v>
      </c>
      <c r="S632">
        <v>1714.92</v>
      </c>
      <c r="T632" t="s">
        <v>32</v>
      </c>
      <c r="U632" t="s">
        <v>33</v>
      </c>
      <c r="V632">
        <f>IF(OR(B632="Invalid Date",C632="Invalid Date"),"Invalid Date",C632-B632)</f>
        <v>1</v>
      </c>
      <c r="W632" s="4" t="str">
        <f>IF(OR(B632="Invalid Date",C632="Invalid Date"),"Invalid Date",IF(C632&lt;B632,"Invalid Shipping","OK"))</f>
        <v>OK</v>
      </c>
      <c r="X632">
        <f t="shared" si="72"/>
        <v>1</v>
      </c>
      <c r="Y632">
        <f t="shared" si="73"/>
        <v>0.1</v>
      </c>
      <c r="Z632">
        <f t="shared" si="74"/>
        <v>10969.380000000001</v>
      </c>
      <c r="AA632">
        <f t="shared" si="75"/>
        <v>1714.9200000000019</v>
      </c>
      <c r="AB632" s="6">
        <f t="shared" si="76"/>
        <v>0.15633700354988173</v>
      </c>
      <c r="AC632" t="str">
        <f t="shared" si="77"/>
        <v>April</v>
      </c>
      <c r="AD632">
        <f t="shared" si="78"/>
        <v>2024</v>
      </c>
      <c r="AE632" t="str">
        <f t="shared" si="79"/>
        <v>Clean</v>
      </c>
    </row>
    <row r="633" spans="1:31">
      <c r="A633" t="s">
        <v>1983</v>
      </c>
      <c r="B633" s="3">
        <v>45392</v>
      </c>
      <c r="C633" s="3">
        <v>45397</v>
      </c>
      <c r="D633" t="s">
        <v>1984</v>
      </c>
      <c r="E633" t="s">
        <v>128</v>
      </c>
      <c r="F633" t="s">
        <v>95</v>
      </c>
      <c r="G633" t="s">
        <v>63</v>
      </c>
      <c r="H633" t="s">
        <v>26</v>
      </c>
      <c r="I633" t="s">
        <v>109</v>
      </c>
      <c r="J633" t="s">
        <v>41</v>
      </c>
      <c r="K633" t="s">
        <v>66</v>
      </c>
      <c r="L633" t="s">
        <v>1985</v>
      </c>
      <c r="M633" t="s">
        <v>59</v>
      </c>
      <c r="N633">
        <v>8</v>
      </c>
      <c r="O633">
        <v>4362.4799999999996</v>
      </c>
      <c r="P633">
        <v>0.1</v>
      </c>
      <c r="Q633">
        <v>31409.86</v>
      </c>
      <c r="R633">
        <v>22523.54</v>
      </c>
      <c r="S633">
        <v>8886.32</v>
      </c>
      <c r="T633" t="s">
        <v>32</v>
      </c>
      <c r="U633" t="s">
        <v>33</v>
      </c>
      <c r="V633">
        <f>IF(OR(B633="Invalid Date",C633="Invalid Date"),"Invalid Date",C633-B633)</f>
        <v>5</v>
      </c>
      <c r="W633" s="4" t="str">
        <f>IF(OR(B633="Invalid Date",C633="Invalid Date"),"Invalid Date",IF(C633&lt;B633,"Invalid Shipping","OK"))</f>
        <v>OK</v>
      </c>
      <c r="X633">
        <f t="shared" si="72"/>
        <v>1</v>
      </c>
      <c r="Y633">
        <f t="shared" si="73"/>
        <v>0.1</v>
      </c>
      <c r="Z633">
        <f t="shared" si="74"/>
        <v>31409.855999999996</v>
      </c>
      <c r="AA633">
        <f t="shared" si="75"/>
        <v>8886.3159999999953</v>
      </c>
      <c r="AB633" s="6">
        <f t="shared" si="76"/>
        <v>0.2829148914277097</v>
      </c>
      <c r="AC633" t="str">
        <f t="shared" si="77"/>
        <v>April</v>
      </c>
      <c r="AD633">
        <f t="shared" si="78"/>
        <v>2024</v>
      </c>
      <c r="AE633" t="str">
        <f t="shared" si="79"/>
        <v>Clean</v>
      </c>
    </row>
    <row r="634" spans="1:31">
      <c r="A634" t="s">
        <v>1986</v>
      </c>
      <c r="B634" s="3">
        <v>45762</v>
      </c>
      <c r="C634" s="3">
        <v>45763</v>
      </c>
      <c r="D634" t="s">
        <v>1987</v>
      </c>
      <c r="E634" t="s">
        <v>132</v>
      </c>
      <c r="F634" t="s">
        <v>37</v>
      </c>
      <c r="G634" t="s">
        <v>54</v>
      </c>
      <c r="H634" t="s">
        <v>175</v>
      </c>
      <c r="I634" t="s">
        <v>176</v>
      </c>
      <c r="J634" t="s">
        <v>41</v>
      </c>
      <c r="K634" t="s">
        <v>57</v>
      </c>
      <c r="L634" t="s">
        <v>1988</v>
      </c>
      <c r="M634" t="s">
        <v>50</v>
      </c>
      <c r="N634">
        <v>5</v>
      </c>
      <c r="O634">
        <v>2850.53</v>
      </c>
      <c r="P634">
        <v>0</v>
      </c>
      <c r="Q634">
        <v>14252.65</v>
      </c>
      <c r="R634">
        <v>11558.31</v>
      </c>
      <c r="S634">
        <v>2694.34</v>
      </c>
      <c r="T634" t="s">
        <v>32</v>
      </c>
      <c r="U634" t="s">
        <v>33</v>
      </c>
      <c r="V634">
        <f>IF(OR(B634="Invalid Date",C634="Invalid Date"),"Invalid Date",C634-B634)</f>
        <v>1</v>
      </c>
      <c r="W634" s="4" t="str">
        <f>IF(OR(B634="Invalid Date",C634="Invalid Date"),"Invalid Date",IF(C634&lt;B634,"Invalid Shipping","OK"))</f>
        <v>OK</v>
      </c>
      <c r="X634">
        <f t="shared" si="72"/>
        <v>1</v>
      </c>
      <c r="Y634">
        <f t="shared" si="73"/>
        <v>0</v>
      </c>
      <c r="Z634">
        <f t="shared" si="74"/>
        <v>14252.650000000001</v>
      </c>
      <c r="AA634">
        <f t="shared" si="75"/>
        <v>2694.340000000002</v>
      </c>
      <c r="AB634" s="6">
        <f t="shared" si="76"/>
        <v>0.18904133617257154</v>
      </c>
      <c r="AC634" t="str">
        <f t="shared" si="77"/>
        <v>April</v>
      </c>
      <c r="AD634">
        <f t="shared" si="78"/>
        <v>2025</v>
      </c>
      <c r="AE634" t="str">
        <f t="shared" si="79"/>
        <v>Clean</v>
      </c>
    </row>
    <row r="635" spans="1:31">
      <c r="A635" t="s">
        <v>1989</v>
      </c>
      <c r="B635" s="3" t="s">
        <v>2763</v>
      </c>
      <c r="C635" s="3">
        <v>45767</v>
      </c>
      <c r="D635" t="s">
        <v>1990</v>
      </c>
      <c r="E635" t="s">
        <v>128</v>
      </c>
      <c r="F635" t="s">
        <v>37</v>
      </c>
      <c r="G635" t="s">
        <v>54</v>
      </c>
      <c r="H635" t="s">
        <v>247</v>
      </c>
      <c r="I635" t="s">
        <v>248</v>
      </c>
      <c r="J635" t="s">
        <v>74</v>
      </c>
      <c r="K635" t="s">
        <v>75</v>
      </c>
      <c r="L635" t="s">
        <v>1991</v>
      </c>
      <c r="M635" t="s">
        <v>31</v>
      </c>
      <c r="N635">
        <v>1</v>
      </c>
      <c r="O635">
        <v>1626.08</v>
      </c>
      <c r="P635">
        <v>0.15</v>
      </c>
      <c r="Q635">
        <v>1382.17</v>
      </c>
      <c r="R635">
        <v>810.03</v>
      </c>
      <c r="S635">
        <v>572.14</v>
      </c>
      <c r="T635" t="s">
        <v>32</v>
      </c>
      <c r="U635" t="s">
        <v>33</v>
      </c>
      <c r="V635" t="str">
        <f>IF(OR(B635="Invalid Date",C635="Invalid Date"),"Invalid Date",C635-B635)</f>
        <v>Invalid Date</v>
      </c>
      <c r="W635" s="4" t="str">
        <f>IF(OR(B635="Invalid Date",C635="Invalid Date"),"Invalid Date",IF(C635&lt;B635,"Invalid Shipping","OK"))</f>
        <v>Invalid Date</v>
      </c>
      <c r="X635">
        <f t="shared" si="72"/>
        <v>1</v>
      </c>
      <c r="Y635">
        <f t="shared" si="73"/>
        <v>0.15</v>
      </c>
      <c r="Z635">
        <f t="shared" si="74"/>
        <v>1382.1679999999999</v>
      </c>
      <c r="AA635">
        <f t="shared" si="75"/>
        <v>572.13799999999992</v>
      </c>
      <c r="AB635" s="6">
        <f t="shared" si="76"/>
        <v>0.4139424440444287</v>
      </c>
      <c r="AC635" t="str">
        <f t="shared" si="77"/>
        <v/>
      </c>
      <c r="AD635" t="str">
        <f t="shared" si="78"/>
        <v/>
      </c>
      <c r="AE635" t="str">
        <f t="shared" si="79"/>
        <v>Invalid</v>
      </c>
    </row>
    <row r="636" spans="1:31">
      <c r="A636" t="s">
        <v>1992</v>
      </c>
      <c r="B636" s="3">
        <v>45962</v>
      </c>
      <c r="C636" s="3">
        <v>45669</v>
      </c>
      <c r="D636" t="s">
        <v>1993</v>
      </c>
      <c r="E636" t="s">
        <v>89</v>
      </c>
      <c r="F636" t="s">
        <v>24</v>
      </c>
      <c r="G636" t="s">
        <v>54</v>
      </c>
      <c r="H636" t="s">
        <v>55</v>
      </c>
      <c r="I636" t="s">
        <v>56</v>
      </c>
      <c r="J636" t="s">
        <v>41</v>
      </c>
      <c r="K636" t="s">
        <v>66</v>
      </c>
      <c r="L636" t="s">
        <v>1994</v>
      </c>
      <c r="M636" t="s">
        <v>31</v>
      </c>
      <c r="N636">
        <v>4</v>
      </c>
      <c r="O636">
        <v>2427.15</v>
      </c>
      <c r="P636">
        <v>0.05</v>
      </c>
      <c r="Q636">
        <v>9223.17</v>
      </c>
      <c r="R636">
        <v>5103.7</v>
      </c>
      <c r="S636">
        <v>4119.47</v>
      </c>
      <c r="T636" t="s">
        <v>32</v>
      </c>
      <c r="U636" t="s">
        <v>33</v>
      </c>
      <c r="V636">
        <f>IF(OR(B636="Invalid Date",C636="Invalid Date"),"Invalid Date",C636-B636)</f>
        <v>-293</v>
      </c>
      <c r="W636" s="4" t="str">
        <f>IF(OR(B636="Invalid Date",C636="Invalid Date"),"Invalid Date",IF(C636&lt;B636,"Invalid Shipping","OK"))</f>
        <v>Invalid Shipping</v>
      </c>
      <c r="X636">
        <f t="shared" si="72"/>
        <v>1</v>
      </c>
      <c r="Y636">
        <f t="shared" si="73"/>
        <v>0.05</v>
      </c>
      <c r="Z636">
        <f t="shared" si="74"/>
        <v>9223.17</v>
      </c>
      <c r="AA636">
        <f t="shared" si="75"/>
        <v>4119.47</v>
      </c>
      <c r="AB636" s="6">
        <f t="shared" si="76"/>
        <v>0.44664361602355807</v>
      </c>
      <c r="AC636" t="str">
        <f t="shared" si="77"/>
        <v>November</v>
      </c>
      <c r="AD636">
        <f t="shared" si="78"/>
        <v>2025</v>
      </c>
      <c r="AE636" t="str">
        <f t="shared" si="79"/>
        <v>Invalid</v>
      </c>
    </row>
    <row r="637" spans="1:31">
      <c r="A637" t="s">
        <v>1995</v>
      </c>
      <c r="B637" s="3">
        <v>45432</v>
      </c>
      <c r="C637" s="3">
        <v>45437</v>
      </c>
      <c r="D637" t="s">
        <v>1996</v>
      </c>
      <c r="E637" t="s">
        <v>36</v>
      </c>
      <c r="F637" t="s">
        <v>90</v>
      </c>
      <c r="G637" t="s">
        <v>54</v>
      </c>
      <c r="H637" t="s">
        <v>84</v>
      </c>
      <c r="I637" t="s">
        <v>85</v>
      </c>
      <c r="J637" t="s">
        <v>41</v>
      </c>
      <c r="K637" t="s">
        <v>66</v>
      </c>
      <c r="L637" t="s">
        <v>1997</v>
      </c>
      <c r="M637" t="s">
        <v>44</v>
      </c>
      <c r="N637">
        <v>7</v>
      </c>
      <c r="O637">
        <v>3122.85</v>
      </c>
      <c r="P637">
        <v>0.25</v>
      </c>
      <c r="Q637">
        <v>16394.96</v>
      </c>
      <c r="R637">
        <v>10404.17</v>
      </c>
      <c r="S637">
        <v>5990.79</v>
      </c>
      <c r="T637" t="s">
        <v>32</v>
      </c>
      <c r="U637" t="s">
        <v>33</v>
      </c>
      <c r="V637">
        <f>IF(OR(B637="Invalid Date",C637="Invalid Date"),"Invalid Date",C637-B637)</f>
        <v>5</v>
      </c>
      <c r="W637" s="4" t="str">
        <f>IF(OR(B637="Invalid Date",C637="Invalid Date"),"Invalid Date",IF(C637&lt;B637,"Invalid Shipping","OK"))</f>
        <v>OK</v>
      </c>
      <c r="X637">
        <f t="shared" si="72"/>
        <v>1</v>
      </c>
      <c r="Y637">
        <f t="shared" si="73"/>
        <v>0.25</v>
      </c>
      <c r="Z637">
        <f t="shared" si="74"/>
        <v>16394.962500000001</v>
      </c>
      <c r="AA637">
        <f t="shared" si="75"/>
        <v>5990.7925000000014</v>
      </c>
      <c r="AB637" s="6">
        <f t="shared" si="76"/>
        <v>0.36540446493854445</v>
      </c>
      <c r="AC637" t="str">
        <f t="shared" si="77"/>
        <v>May</v>
      </c>
      <c r="AD637">
        <f t="shared" si="78"/>
        <v>2024</v>
      </c>
      <c r="AE637" t="str">
        <f t="shared" si="79"/>
        <v>Clean</v>
      </c>
    </row>
    <row r="638" spans="1:31">
      <c r="A638" t="s">
        <v>1998</v>
      </c>
      <c r="B638" s="3">
        <v>45567</v>
      </c>
      <c r="C638" s="3">
        <v>45574</v>
      </c>
      <c r="D638" t="s">
        <v>1999</v>
      </c>
      <c r="E638" t="s">
        <v>62</v>
      </c>
      <c r="F638" t="s">
        <v>24</v>
      </c>
      <c r="G638" t="s">
        <v>54</v>
      </c>
      <c r="H638" t="s">
        <v>247</v>
      </c>
      <c r="I638" t="s">
        <v>248</v>
      </c>
      <c r="J638" t="s">
        <v>28</v>
      </c>
      <c r="K638" t="s">
        <v>29</v>
      </c>
      <c r="L638" t="s">
        <v>2000</v>
      </c>
      <c r="M638" t="s">
        <v>59</v>
      </c>
      <c r="N638">
        <v>8</v>
      </c>
      <c r="O638">
        <v>1910.31</v>
      </c>
      <c r="P638">
        <v>0.15</v>
      </c>
      <c r="Q638">
        <v>12990.11</v>
      </c>
      <c r="R638">
        <v>10200.799999999999</v>
      </c>
      <c r="S638">
        <v>2789.31</v>
      </c>
      <c r="T638" t="s">
        <v>32</v>
      </c>
      <c r="U638" t="s">
        <v>33</v>
      </c>
      <c r="V638">
        <f>IF(OR(B638="Invalid Date",C638="Invalid Date"),"Invalid Date",C638-B638)</f>
        <v>7</v>
      </c>
      <c r="W638" s="4" t="str">
        <f>IF(OR(B638="Invalid Date",C638="Invalid Date"),"Invalid Date",IF(C638&lt;B638,"Invalid Shipping","OK"))</f>
        <v>OK</v>
      </c>
      <c r="X638">
        <f t="shared" si="72"/>
        <v>1</v>
      </c>
      <c r="Y638">
        <f t="shared" si="73"/>
        <v>0.15</v>
      </c>
      <c r="Z638">
        <f t="shared" si="74"/>
        <v>12990.108</v>
      </c>
      <c r="AA638">
        <f t="shared" si="75"/>
        <v>2789.3080000000009</v>
      </c>
      <c r="AB638" s="6">
        <f t="shared" si="76"/>
        <v>0.2147255434673831</v>
      </c>
      <c r="AC638" t="str">
        <f t="shared" si="77"/>
        <v>October</v>
      </c>
      <c r="AD638">
        <f t="shared" si="78"/>
        <v>2024</v>
      </c>
      <c r="AE638" t="str">
        <f t="shared" si="79"/>
        <v>Clean</v>
      </c>
    </row>
    <row r="639" spans="1:31">
      <c r="A639" t="s">
        <v>2001</v>
      </c>
      <c r="B639" s="3">
        <v>45438</v>
      </c>
      <c r="C639" s="3">
        <v>45438</v>
      </c>
      <c r="D639" t="s">
        <v>2002</v>
      </c>
      <c r="E639" t="s">
        <v>118</v>
      </c>
      <c r="F639" t="s">
        <v>37</v>
      </c>
      <c r="G639" t="s">
        <v>63</v>
      </c>
      <c r="H639" t="s">
        <v>190</v>
      </c>
      <c r="I639" t="s">
        <v>191</v>
      </c>
      <c r="J639" t="s">
        <v>74</v>
      </c>
      <c r="K639" t="s">
        <v>80</v>
      </c>
      <c r="L639" t="s">
        <v>2003</v>
      </c>
      <c r="M639" t="s">
        <v>50</v>
      </c>
      <c r="N639">
        <v>2</v>
      </c>
      <c r="O639">
        <v>3192.47</v>
      </c>
      <c r="P639">
        <v>0.2</v>
      </c>
      <c r="Q639">
        <v>5107.95</v>
      </c>
      <c r="R639">
        <v>3133.08</v>
      </c>
      <c r="S639">
        <v>1974.87</v>
      </c>
      <c r="T639" t="s">
        <v>32</v>
      </c>
      <c r="U639" t="s">
        <v>33</v>
      </c>
      <c r="V639">
        <f>IF(OR(B639="Invalid Date",C639="Invalid Date"),"Invalid Date",C639-B639)</f>
        <v>0</v>
      </c>
      <c r="W639" s="4" t="str">
        <f>IF(OR(B639="Invalid Date",C639="Invalid Date"),"Invalid Date",IF(C639&lt;B639,"Invalid Shipping","OK"))</f>
        <v>OK</v>
      </c>
      <c r="X639">
        <f t="shared" si="72"/>
        <v>1</v>
      </c>
      <c r="Y639">
        <f t="shared" si="73"/>
        <v>0.2</v>
      </c>
      <c r="Z639">
        <f t="shared" si="74"/>
        <v>5107.9520000000002</v>
      </c>
      <c r="AA639">
        <f t="shared" si="75"/>
        <v>1974.8720000000003</v>
      </c>
      <c r="AB639" s="6">
        <f t="shared" si="76"/>
        <v>0.38662696908663202</v>
      </c>
      <c r="AC639" t="str">
        <f t="shared" si="77"/>
        <v>May</v>
      </c>
      <c r="AD639">
        <f t="shared" si="78"/>
        <v>2024</v>
      </c>
      <c r="AE639" t="str">
        <f t="shared" si="79"/>
        <v>Clean</v>
      </c>
    </row>
    <row r="640" spans="1:31">
      <c r="A640" t="s">
        <v>2004</v>
      </c>
      <c r="B640" s="3">
        <v>45317</v>
      </c>
      <c r="C640" s="3">
        <v>45322</v>
      </c>
      <c r="D640" t="s">
        <v>2005</v>
      </c>
      <c r="E640" t="s">
        <v>23</v>
      </c>
      <c r="F640" t="s">
        <v>90</v>
      </c>
      <c r="G640" t="s">
        <v>54</v>
      </c>
      <c r="H640" t="s">
        <v>185</v>
      </c>
      <c r="I640" t="s">
        <v>186</v>
      </c>
      <c r="J640" t="s">
        <v>28</v>
      </c>
      <c r="K640" t="s">
        <v>124</v>
      </c>
      <c r="L640" t="s">
        <v>2006</v>
      </c>
      <c r="M640" t="s">
        <v>31</v>
      </c>
      <c r="N640">
        <v>3</v>
      </c>
      <c r="O640">
        <v>3224.32</v>
      </c>
      <c r="P640">
        <v>0.2</v>
      </c>
      <c r="Q640">
        <v>7738.37</v>
      </c>
      <c r="R640">
        <v>4626.8500000000004</v>
      </c>
      <c r="S640">
        <v>3111.52</v>
      </c>
      <c r="T640" t="s">
        <v>155</v>
      </c>
      <c r="U640" t="s">
        <v>103</v>
      </c>
      <c r="V640">
        <f>IF(OR(B640="Invalid Date",C640="Invalid Date"),"Invalid Date",C640-B640)</f>
        <v>5</v>
      </c>
      <c r="W640" s="4" t="str">
        <f>IF(OR(B640="Invalid Date",C640="Invalid Date"),"Invalid Date",IF(C640&lt;B640,"Invalid Shipping","OK"))</f>
        <v>OK</v>
      </c>
      <c r="X640">
        <f t="shared" si="72"/>
        <v>1</v>
      </c>
      <c r="Y640">
        <f t="shared" si="73"/>
        <v>0.2</v>
      </c>
      <c r="Z640">
        <f t="shared" si="74"/>
        <v>7738.3680000000013</v>
      </c>
      <c r="AA640">
        <f t="shared" si="75"/>
        <v>3111.5180000000009</v>
      </c>
      <c r="AB640" s="6">
        <f t="shared" si="76"/>
        <v>0.40208969126306743</v>
      </c>
      <c r="AC640" t="str">
        <f t="shared" si="77"/>
        <v>January</v>
      </c>
      <c r="AD640">
        <f t="shared" si="78"/>
        <v>2024</v>
      </c>
      <c r="AE640" t="str">
        <f t="shared" si="79"/>
        <v>Clean</v>
      </c>
    </row>
    <row r="641" spans="1:31">
      <c r="A641" t="s">
        <v>2007</v>
      </c>
      <c r="B641" s="3" t="s">
        <v>2763</v>
      </c>
      <c r="C641" s="3">
        <v>45657</v>
      </c>
      <c r="D641" t="s">
        <v>2008</v>
      </c>
      <c r="E641" t="s">
        <v>47</v>
      </c>
      <c r="F641" t="s">
        <v>37</v>
      </c>
      <c r="G641" t="s">
        <v>38</v>
      </c>
      <c r="H641" t="s">
        <v>39</v>
      </c>
      <c r="I641" t="s">
        <v>40</v>
      </c>
      <c r="J641" t="s">
        <v>41</v>
      </c>
      <c r="K641" t="s">
        <v>66</v>
      </c>
      <c r="L641" t="s">
        <v>2009</v>
      </c>
      <c r="M641" t="s">
        <v>31</v>
      </c>
      <c r="N641">
        <v>1</v>
      </c>
      <c r="O641">
        <v>1594.7</v>
      </c>
      <c r="P641">
        <v>0.05</v>
      </c>
      <c r="Q641">
        <v>1514.96</v>
      </c>
      <c r="R641">
        <v>1046.17</v>
      </c>
      <c r="S641">
        <v>468.79</v>
      </c>
      <c r="T641" t="s">
        <v>32</v>
      </c>
      <c r="U641" t="s">
        <v>33</v>
      </c>
      <c r="V641" t="str">
        <f>IF(OR(B641="Invalid Date",C641="Invalid Date"),"Invalid Date",C641-B641)</f>
        <v>Invalid Date</v>
      </c>
      <c r="W641" s="4" t="str">
        <f>IF(OR(B641="Invalid Date",C641="Invalid Date"),"Invalid Date",IF(C641&lt;B641,"Invalid Shipping","OK"))</f>
        <v>Invalid Date</v>
      </c>
      <c r="X641">
        <f t="shared" si="72"/>
        <v>1</v>
      </c>
      <c r="Y641">
        <f t="shared" si="73"/>
        <v>0.05</v>
      </c>
      <c r="Z641">
        <f t="shared" si="74"/>
        <v>1514.9649999999999</v>
      </c>
      <c r="AA641">
        <f t="shared" si="75"/>
        <v>468.79499999999985</v>
      </c>
      <c r="AB641" s="6">
        <f t="shared" si="76"/>
        <v>0.3094427924077453</v>
      </c>
      <c r="AC641" t="str">
        <f t="shared" si="77"/>
        <v/>
      </c>
      <c r="AD641" t="str">
        <f t="shared" si="78"/>
        <v/>
      </c>
      <c r="AE641" t="str">
        <f t="shared" si="79"/>
        <v>Invalid</v>
      </c>
    </row>
    <row r="642" spans="1:31">
      <c r="A642" t="s">
        <v>2010</v>
      </c>
      <c r="B642" s="3">
        <v>45671</v>
      </c>
      <c r="C642" s="3">
        <v>45674</v>
      </c>
      <c r="D642" t="s">
        <v>2011</v>
      </c>
      <c r="E642" t="s">
        <v>71</v>
      </c>
      <c r="F642" t="s">
        <v>24</v>
      </c>
      <c r="G642" t="s">
        <v>63</v>
      </c>
      <c r="H642" t="s">
        <v>190</v>
      </c>
      <c r="I642" t="s">
        <v>191</v>
      </c>
      <c r="J642" t="s">
        <v>28</v>
      </c>
      <c r="K642" t="s">
        <v>124</v>
      </c>
      <c r="L642" t="s">
        <v>2012</v>
      </c>
      <c r="M642" t="s">
        <v>50</v>
      </c>
      <c r="N642">
        <v>1</v>
      </c>
      <c r="O642">
        <v>1584.12</v>
      </c>
      <c r="P642">
        <v>0.2</v>
      </c>
      <c r="Q642">
        <v>1267.3</v>
      </c>
      <c r="R642">
        <v>923.53</v>
      </c>
      <c r="S642">
        <v>343.77</v>
      </c>
      <c r="T642" t="s">
        <v>32</v>
      </c>
      <c r="U642" t="s">
        <v>33</v>
      </c>
      <c r="V642">
        <f>IF(OR(B642="Invalid Date",C642="Invalid Date"),"Invalid Date",C642-B642)</f>
        <v>3</v>
      </c>
      <c r="W642" s="4" t="str">
        <f>IF(OR(B642="Invalid Date",C642="Invalid Date"),"Invalid Date",IF(C642&lt;B642,"Invalid Shipping","OK"))</f>
        <v>OK</v>
      </c>
      <c r="X642">
        <f t="shared" si="72"/>
        <v>1</v>
      </c>
      <c r="Y642">
        <f t="shared" si="73"/>
        <v>0.2</v>
      </c>
      <c r="Z642">
        <f t="shared" si="74"/>
        <v>1267.296</v>
      </c>
      <c r="AA642">
        <f t="shared" si="75"/>
        <v>343.76600000000008</v>
      </c>
      <c r="AB642" s="6">
        <f t="shared" si="76"/>
        <v>0.27125943741635739</v>
      </c>
      <c r="AC642" t="str">
        <f t="shared" si="77"/>
        <v>January</v>
      </c>
      <c r="AD642">
        <f t="shared" si="78"/>
        <v>2025</v>
      </c>
      <c r="AE642" t="str">
        <f t="shared" si="79"/>
        <v>Clean</v>
      </c>
    </row>
    <row r="643" spans="1:31">
      <c r="A643" t="s">
        <v>2013</v>
      </c>
      <c r="B643" s="3">
        <v>45756</v>
      </c>
      <c r="C643" s="3">
        <v>45761</v>
      </c>
      <c r="D643" t="s">
        <v>2014</v>
      </c>
      <c r="E643" t="s">
        <v>23</v>
      </c>
      <c r="F643" t="s">
        <v>24</v>
      </c>
      <c r="G643" t="s">
        <v>25</v>
      </c>
      <c r="H643" t="s">
        <v>350</v>
      </c>
      <c r="I643" t="s">
        <v>351</v>
      </c>
      <c r="J643" t="s">
        <v>41</v>
      </c>
      <c r="K643" t="s">
        <v>57</v>
      </c>
      <c r="L643" t="s">
        <v>2015</v>
      </c>
      <c r="M643" t="s">
        <v>44</v>
      </c>
      <c r="N643">
        <v>2</v>
      </c>
      <c r="O643">
        <v>3202.87</v>
      </c>
      <c r="P643">
        <v>0</v>
      </c>
      <c r="Q643">
        <v>6405.74</v>
      </c>
      <c r="R643">
        <v>3561.87</v>
      </c>
      <c r="S643">
        <v>2843.87</v>
      </c>
      <c r="T643" t="s">
        <v>32</v>
      </c>
      <c r="U643" t="s">
        <v>33</v>
      </c>
      <c r="V643">
        <f>IF(OR(B643="Invalid Date",C643="Invalid Date"),"Invalid Date",C643-B643)</f>
        <v>5</v>
      </c>
      <c r="W643" s="4" t="str">
        <f>IF(OR(B643="Invalid Date",C643="Invalid Date"),"Invalid Date",IF(C643&lt;B643,"Invalid Shipping","OK"))</f>
        <v>OK</v>
      </c>
      <c r="X643">
        <f t="shared" ref="X643:X706" si="80">COUNTIF($A:$A,A643)</f>
        <v>1</v>
      </c>
      <c r="Y643">
        <f t="shared" ref="Y643:Y706" si="81">IF(P643="",0,IF(OR(P643&lt;0,P643&gt;1),"Invalid",P643))</f>
        <v>0</v>
      </c>
      <c r="Z643">
        <f t="shared" ref="Z643:Z706" si="82">IF(ISTEXT(Y643),"",N643*O643*(1-Y643))</f>
        <v>6405.74</v>
      </c>
      <c r="AA643">
        <f t="shared" ref="AA643:AA706" si="83">IF(Z643="","",Z643-R643)</f>
        <v>2843.87</v>
      </c>
      <c r="AB643" s="6">
        <f t="shared" ref="AB643:AB706" si="84">IF(OR(Z643="",Z643=0),"",AA643/Z643)</f>
        <v>0.44395651400150488</v>
      </c>
      <c r="AC643" t="str">
        <f t="shared" ref="AC643:AC706" si="85">IF(ISNUMBER(B643),TEXT(B643,"mmmm"),"")</f>
        <v>April</v>
      </c>
      <c r="AD643">
        <f t="shared" ref="AD643:AD706" si="86">IF(ISNUMBER(B643),YEAR(B643),"")</f>
        <v>2025</v>
      </c>
      <c r="AE643" t="str">
        <f t="shared" ref="AE643:AE706" si="87">IF(OR(B643="Invalid Date",C643="Invalid Date",W643="Invalid Date",W643="Invalid Shipping",Y643="Invalid"),"Invalid",IF(OR(G643="Unknown",M643="Unknown"),"Warning","Clean"))</f>
        <v>Clean</v>
      </c>
    </row>
    <row r="644" spans="1:31">
      <c r="A644" t="s">
        <v>2016</v>
      </c>
      <c r="B644" s="3" t="s">
        <v>2763</v>
      </c>
      <c r="C644" s="3" t="s">
        <v>2763</v>
      </c>
      <c r="D644" t="s">
        <v>2017</v>
      </c>
      <c r="E644" t="s">
        <v>47</v>
      </c>
      <c r="F644" t="s">
        <v>95</v>
      </c>
      <c r="G644" t="s">
        <v>38</v>
      </c>
      <c r="H644" t="s">
        <v>166</v>
      </c>
      <c r="I644" t="s">
        <v>167</v>
      </c>
      <c r="J644" t="s">
        <v>28</v>
      </c>
      <c r="K644" t="s">
        <v>153</v>
      </c>
      <c r="L644" t="s">
        <v>2018</v>
      </c>
      <c r="M644" t="s">
        <v>31</v>
      </c>
      <c r="N644">
        <v>9</v>
      </c>
      <c r="O644">
        <v>1275.21</v>
      </c>
      <c r="P644">
        <v>0.25</v>
      </c>
      <c r="Q644">
        <v>8607.67</v>
      </c>
      <c r="R644">
        <v>5337.64</v>
      </c>
      <c r="S644">
        <v>3270.03</v>
      </c>
      <c r="T644" t="s">
        <v>155</v>
      </c>
      <c r="U644" t="s">
        <v>103</v>
      </c>
      <c r="V644" t="str">
        <f>IF(OR(B644="Invalid Date",C644="Invalid Date"),"Invalid Date",C644-B644)</f>
        <v>Invalid Date</v>
      </c>
      <c r="W644" s="4" t="str">
        <f>IF(OR(B644="Invalid Date",C644="Invalid Date"),"Invalid Date",IF(C644&lt;B644,"Invalid Shipping","OK"))</f>
        <v>Invalid Date</v>
      </c>
      <c r="X644">
        <f t="shared" si="80"/>
        <v>1</v>
      </c>
      <c r="Y644">
        <f t="shared" si="81"/>
        <v>0.25</v>
      </c>
      <c r="Z644">
        <f t="shared" si="82"/>
        <v>8607.6674999999996</v>
      </c>
      <c r="AA644">
        <f t="shared" si="83"/>
        <v>3270.0274999999992</v>
      </c>
      <c r="AB644" s="6">
        <f t="shared" si="84"/>
        <v>0.37989705108846261</v>
      </c>
      <c r="AC644" t="str">
        <f t="shared" si="85"/>
        <v/>
      </c>
      <c r="AD644" t="str">
        <f t="shared" si="86"/>
        <v/>
      </c>
      <c r="AE644" t="str">
        <f t="shared" si="87"/>
        <v>Invalid</v>
      </c>
    </row>
    <row r="645" spans="1:31">
      <c r="A645" t="s">
        <v>2019</v>
      </c>
      <c r="B645" s="3">
        <v>45327</v>
      </c>
      <c r="C645" s="3">
        <v>45335</v>
      </c>
      <c r="D645" t="s">
        <v>720</v>
      </c>
      <c r="E645" t="s">
        <v>128</v>
      </c>
      <c r="F645" t="s">
        <v>95</v>
      </c>
      <c r="G645" t="s">
        <v>25</v>
      </c>
      <c r="H645" t="s">
        <v>136</v>
      </c>
      <c r="I645" t="s">
        <v>137</v>
      </c>
      <c r="J645" t="s">
        <v>28</v>
      </c>
      <c r="K645" t="s">
        <v>91</v>
      </c>
      <c r="L645" t="s">
        <v>2020</v>
      </c>
      <c r="M645" t="s">
        <v>59</v>
      </c>
      <c r="N645">
        <v>8</v>
      </c>
      <c r="O645">
        <v>3871.18</v>
      </c>
      <c r="P645">
        <v>0.15</v>
      </c>
      <c r="Q645">
        <v>26324.02</v>
      </c>
      <c r="R645">
        <v>16277.96</v>
      </c>
      <c r="S645">
        <v>10046.06</v>
      </c>
      <c r="T645" t="s">
        <v>155</v>
      </c>
      <c r="U645" t="s">
        <v>103</v>
      </c>
      <c r="V645">
        <f>IF(OR(B645="Invalid Date",C645="Invalid Date"),"Invalid Date",C645-B645)</f>
        <v>8</v>
      </c>
      <c r="W645" s="4" t="str">
        <f>IF(OR(B645="Invalid Date",C645="Invalid Date"),"Invalid Date",IF(C645&lt;B645,"Invalid Shipping","OK"))</f>
        <v>OK</v>
      </c>
      <c r="X645">
        <f t="shared" si="80"/>
        <v>1</v>
      </c>
      <c r="Y645">
        <f t="shared" si="81"/>
        <v>0.15</v>
      </c>
      <c r="Z645">
        <f t="shared" si="82"/>
        <v>26324.023999999998</v>
      </c>
      <c r="AA645">
        <f t="shared" si="83"/>
        <v>10046.063999999998</v>
      </c>
      <c r="AB645" s="6">
        <f t="shared" si="84"/>
        <v>0.3816310150758106</v>
      </c>
      <c r="AC645" t="str">
        <f t="shared" si="85"/>
        <v>February</v>
      </c>
      <c r="AD645">
        <f t="shared" si="86"/>
        <v>2024</v>
      </c>
      <c r="AE645" t="str">
        <f t="shared" si="87"/>
        <v>Clean</v>
      </c>
    </row>
    <row r="646" spans="1:31">
      <c r="A646" t="s">
        <v>2021</v>
      </c>
      <c r="B646" s="3">
        <v>45757</v>
      </c>
      <c r="C646" s="3" t="s">
        <v>2763</v>
      </c>
      <c r="D646" t="s">
        <v>2022</v>
      </c>
      <c r="E646" t="s">
        <v>71</v>
      </c>
      <c r="F646" t="s">
        <v>24</v>
      </c>
      <c r="G646" t="s">
        <v>38</v>
      </c>
      <c r="H646" t="s">
        <v>99</v>
      </c>
      <c r="I646" t="s">
        <v>100</v>
      </c>
      <c r="J646" t="s">
        <v>41</v>
      </c>
      <c r="K646" t="s">
        <v>66</v>
      </c>
      <c r="L646" t="s">
        <v>2023</v>
      </c>
      <c r="M646" t="s">
        <v>59</v>
      </c>
      <c r="N646">
        <v>4</v>
      </c>
      <c r="O646">
        <v>3750.02</v>
      </c>
      <c r="P646">
        <v>0.05</v>
      </c>
      <c r="Q646">
        <v>14250.08</v>
      </c>
      <c r="R646">
        <v>10914.92</v>
      </c>
      <c r="S646">
        <v>3335.16</v>
      </c>
      <c r="T646" t="s">
        <v>32</v>
      </c>
      <c r="U646" t="s">
        <v>33</v>
      </c>
      <c r="V646" t="str">
        <f>IF(OR(B646="Invalid Date",C646="Invalid Date"),"Invalid Date",C646-B646)</f>
        <v>Invalid Date</v>
      </c>
      <c r="W646" s="4" t="str">
        <f>IF(OR(B646="Invalid Date",C646="Invalid Date"),"Invalid Date",IF(C646&lt;B646,"Invalid Shipping","OK"))</f>
        <v>Invalid Date</v>
      </c>
      <c r="X646">
        <f t="shared" si="80"/>
        <v>1</v>
      </c>
      <c r="Y646">
        <f t="shared" si="81"/>
        <v>0.05</v>
      </c>
      <c r="Z646">
        <f t="shared" si="82"/>
        <v>14250.075999999999</v>
      </c>
      <c r="AA646">
        <f t="shared" si="83"/>
        <v>3335.155999999999</v>
      </c>
      <c r="AB646" s="6">
        <f t="shared" si="84"/>
        <v>0.23404478684885605</v>
      </c>
      <c r="AC646" t="str">
        <f t="shared" si="85"/>
        <v>April</v>
      </c>
      <c r="AD646">
        <f t="shared" si="86"/>
        <v>2025</v>
      </c>
      <c r="AE646" t="str">
        <f t="shared" si="87"/>
        <v>Invalid</v>
      </c>
    </row>
    <row r="647" spans="1:31">
      <c r="A647" t="s">
        <v>2024</v>
      </c>
      <c r="B647" s="3">
        <v>45295</v>
      </c>
      <c r="C647" s="3">
        <v>45300</v>
      </c>
      <c r="D647" t="s">
        <v>2025</v>
      </c>
      <c r="E647" t="s">
        <v>264</v>
      </c>
      <c r="F647" t="s">
        <v>24</v>
      </c>
      <c r="G647" t="s">
        <v>38</v>
      </c>
      <c r="H647" t="s">
        <v>145</v>
      </c>
      <c r="I647" t="s">
        <v>146</v>
      </c>
      <c r="J647" t="s">
        <v>41</v>
      </c>
      <c r="K647" t="s">
        <v>66</v>
      </c>
      <c r="L647" t="s">
        <v>2026</v>
      </c>
      <c r="M647" t="s">
        <v>31</v>
      </c>
      <c r="N647">
        <v>6</v>
      </c>
      <c r="O647">
        <v>2423.61</v>
      </c>
      <c r="P647">
        <v>0.1</v>
      </c>
      <c r="Q647">
        <v>13087.49</v>
      </c>
      <c r="R647">
        <v>7608.89</v>
      </c>
      <c r="S647">
        <v>5133.22</v>
      </c>
      <c r="T647" t="s">
        <v>32</v>
      </c>
      <c r="U647" t="s">
        <v>33</v>
      </c>
      <c r="V647">
        <f>IF(OR(B647="Invalid Date",C647="Invalid Date"),"Invalid Date",C647-B647)</f>
        <v>5</v>
      </c>
      <c r="W647" s="4" t="str">
        <f>IF(OR(B647="Invalid Date",C647="Invalid Date"),"Invalid Date",IF(C647&lt;B647,"Invalid Shipping","OK"))</f>
        <v>OK</v>
      </c>
      <c r="X647">
        <f t="shared" si="80"/>
        <v>1</v>
      </c>
      <c r="Y647">
        <f t="shared" si="81"/>
        <v>0.1</v>
      </c>
      <c r="Z647">
        <f t="shared" si="82"/>
        <v>13087.494000000001</v>
      </c>
      <c r="AA647">
        <f t="shared" si="83"/>
        <v>5478.6040000000003</v>
      </c>
      <c r="AB647" s="6">
        <f t="shared" si="84"/>
        <v>0.41861367806548755</v>
      </c>
      <c r="AC647" t="str">
        <f t="shared" si="85"/>
        <v>January</v>
      </c>
      <c r="AD647">
        <f t="shared" si="86"/>
        <v>2024</v>
      </c>
      <c r="AE647" t="str">
        <f t="shared" si="87"/>
        <v>Clean</v>
      </c>
    </row>
    <row r="648" spans="1:31">
      <c r="A648" t="s">
        <v>2027</v>
      </c>
      <c r="B648" s="3" t="s">
        <v>2763</v>
      </c>
      <c r="C648" s="3">
        <v>45559</v>
      </c>
      <c r="D648" t="s">
        <v>2028</v>
      </c>
      <c r="E648" t="s">
        <v>71</v>
      </c>
      <c r="F648" t="s">
        <v>37</v>
      </c>
      <c r="G648" t="s">
        <v>38</v>
      </c>
      <c r="H648" t="s">
        <v>228</v>
      </c>
      <c r="I648" t="s">
        <v>229</v>
      </c>
      <c r="J648" t="s">
        <v>74</v>
      </c>
      <c r="K648" t="s">
        <v>274</v>
      </c>
      <c r="L648" t="s">
        <v>2029</v>
      </c>
      <c r="M648" t="s">
        <v>50</v>
      </c>
      <c r="N648">
        <v>3</v>
      </c>
      <c r="O648">
        <v>729.14</v>
      </c>
      <c r="P648">
        <v>0.25</v>
      </c>
      <c r="Q648">
        <v>1640.57</v>
      </c>
      <c r="R648">
        <v>1136.98</v>
      </c>
      <c r="S648">
        <v>503.59</v>
      </c>
      <c r="T648" t="s">
        <v>32</v>
      </c>
      <c r="U648" t="s">
        <v>33</v>
      </c>
      <c r="V648" t="str">
        <f>IF(OR(B648="Invalid Date",C648="Invalid Date"),"Invalid Date",C648-B648)</f>
        <v>Invalid Date</v>
      </c>
      <c r="W648" s="4" t="str">
        <f>IF(OR(B648="Invalid Date",C648="Invalid Date"),"Invalid Date",IF(C648&lt;B648,"Invalid Shipping","OK"))</f>
        <v>Invalid Date</v>
      </c>
      <c r="X648">
        <f t="shared" si="80"/>
        <v>1</v>
      </c>
      <c r="Y648">
        <f t="shared" si="81"/>
        <v>0.25</v>
      </c>
      <c r="Z648">
        <f t="shared" si="82"/>
        <v>1640.5650000000001</v>
      </c>
      <c r="AA648">
        <f t="shared" si="83"/>
        <v>503.58500000000004</v>
      </c>
      <c r="AB648" s="6">
        <f t="shared" si="84"/>
        <v>0.30695827352162214</v>
      </c>
      <c r="AC648" t="str">
        <f t="shared" si="85"/>
        <v/>
      </c>
      <c r="AD648" t="str">
        <f t="shared" si="86"/>
        <v/>
      </c>
      <c r="AE648" t="str">
        <f t="shared" si="87"/>
        <v>Invalid</v>
      </c>
    </row>
    <row r="649" spans="1:31">
      <c r="A649" t="s">
        <v>2030</v>
      </c>
      <c r="B649" s="3">
        <v>45658</v>
      </c>
      <c r="C649" s="3">
        <v>45666</v>
      </c>
      <c r="D649" t="s">
        <v>2031</v>
      </c>
      <c r="E649" t="s">
        <v>141</v>
      </c>
      <c r="F649" t="s">
        <v>37</v>
      </c>
      <c r="G649" t="s">
        <v>25</v>
      </c>
      <c r="H649" t="s">
        <v>122</v>
      </c>
      <c r="I649" t="s">
        <v>123</v>
      </c>
      <c r="J649" t="s">
        <v>28</v>
      </c>
      <c r="K649" t="s">
        <v>48</v>
      </c>
      <c r="L649" t="s">
        <v>2032</v>
      </c>
      <c r="M649" t="s">
        <v>50</v>
      </c>
      <c r="N649">
        <v>8</v>
      </c>
      <c r="O649">
        <v>2123.81</v>
      </c>
      <c r="P649">
        <v>0.15</v>
      </c>
      <c r="Q649">
        <v>14441.91</v>
      </c>
      <c r="R649">
        <v>10872.89</v>
      </c>
      <c r="S649">
        <v>3569.02</v>
      </c>
      <c r="T649" t="s">
        <v>32</v>
      </c>
      <c r="U649" t="s">
        <v>33</v>
      </c>
      <c r="V649">
        <f>IF(OR(B649="Invalid Date",C649="Invalid Date"),"Invalid Date",C649-B649)</f>
        <v>8</v>
      </c>
      <c r="W649" s="4" t="str">
        <f>IF(OR(B649="Invalid Date",C649="Invalid Date"),"Invalid Date",IF(C649&lt;B649,"Invalid Shipping","OK"))</f>
        <v>OK</v>
      </c>
      <c r="X649">
        <f t="shared" si="80"/>
        <v>1</v>
      </c>
      <c r="Y649">
        <f t="shared" si="81"/>
        <v>0.15</v>
      </c>
      <c r="Z649">
        <f t="shared" si="82"/>
        <v>14441.907999999999</v>
      </c>
      <c r="AA649">
        <f t="shared" si="83"/>
        <v>3569.018</v>
      </c>
      <c r="AB649" s="6">
        <f t="shared" si="84"/>
        <v>0.24712925743606731</v>
      </c>
      <c r="AC649" t="str">
        <f t="shared" si="85"/>
        <v>January</v>
      </c>
      <c r="AD649">
        <f t="shared" si="86"/>
        <v>2025</v>
      </c>
      <c r="AE649" t="str">
        <f t="shared" si="87"/>
        <v>Clean</v>
      </c>
    </row>
    <row r="650" spans="1:31">
      <c r="A650" t="s">
        <v>2033</v>
      </c>
      <c r="B650" s="3">
        <v>45403</v>
      </c>
      <c r="C650" s="3">
        <v>45406</v>
      </c>
      <c r="D650" t="s">
        <v>2034</v>
      </c>
      <c r="E650" t="s">
        <v>79</v>
      </c>
      <c r="F650" t="s">
        <v>37</v>
      </c>
      <c r="G650" t="s">
        <v>54</v>
      </c>
      <c r="H650" t="s">
        <v>84</v>
      </c>
      <c r="I650" t="s">
        <v>85</v>
      </c>
      <c r="J650" t="s">
        <v>28</v>
      </c>
      <c r="K650" t="s">
        <v>48</v>
      </c>
      <c r="L650" t="s">
        <v>2035</v>
      </c>
      <c r="M650" t="s">
        <v>44</v>
      </c>
      <c r="N650">
        <v>9</v>
      </c>
      <c r="O650">
        <v>703.59</v>
      </c>
      <c r="P650">
        <v>0.2</v>
      </c>
      <c r="Q650">
        <v>5065.8500000000004</v>
      </c>
      <c r="R650">
        <v>3517.23</v>
      </c>
      <c r="S650">
        <v>1548.62</v>
      </c>
      <c r="T650" t="s">
        <v>155</v>
      </c>
      <c r="U650" t="s">
        <v>103</v>
      </c>
      <c r="V650">
        <f>IF(OR(B650="Invalid Date",C650="Invalid Date"),"Invalid Date",C650-B650)</f>
        <v>3</v>
      </c>
      <c r="W650" s="4" t="str">
        <f>IF(OR(B650="Invalid Date",C650="Invalid Date"),"Invalid Date",IF(C650&lt;B650,"Invalid Shipping","OK"))</f>
        <v>OK</v>
      </c>
      <c r="X650">
        <f t="shared" si="80"/>
        <v>1</v>
      </c>
      <c r="Y650">
        <f t="shared" si="81"/>
        <v>0.2</v>
      </c>
      <c r="Z650">
        <f t="shared" si="82"/>
        <v>5065.8480000000009</v>
      </c>
      <c r="AA650">
        <f t="shared" si="83"/>
        <v>1548.6180000000008</v>
      </c>
      <c r="AB650" s="6">
        <f t="shared" si="84"/>
        <v>0.30569768378364304</v>
      </c>
      <c r="AC650" t="str">
        <f t="shared" si="85"/>
        <v>April</v>
      </c>
      <c r="AD650">
        <f t="shared" si="86"/>
        <v>2024</v>
      </c>
      <c r="AE650" t="str">
        <f t="shared" si="87"/>
        <v>Clean</v>
      </c>
    </row>
    <row r="651" spans="1:31">
      <c r="A651" t="s">
        <v>2036</v>
      </c>
      <c r="B651" s="3">
        <v>45880</v>
      </c>
      <c r="C651" s="3">
        <v>45888</v>
      </c>
      <c r="D651" t="s">
        <v>2037</v>
      </c>
      <c r="E651" t="s">
        <v>264</v>
      </c>
      <c r="F651" t="s">
        <v>37</v>
      </c>
      <c r="G651" t="s">
        <v>54</v>
      </c>
      <c r="H651" t="s">
        <v>185</v>
      </c>
      <c r="I651" t="s">
        <v>186</v>
      </c>
      <c r="J651" t="s">
        <v>74</v>
      </c>
      <c r="K651" t="s">
        <v>75</v>
      </c>
      <c r="L651" t="s">
        <v>2038</v>
      </c>
      <c r="M651" t="s">
        <v>59</v>
      </c>
      <c r="N651">
        <v>4</v>
      </c>
      <c r="O651">
        <v>2258.96</v>
      </c>
      <c r="P651">
        <v>0.25</v>
      </c>
      <c r="Q651">
        <v>6776.88</v>
      </c>
      <c r="R651">
        <v>3836.24</v>
      </c>
      <c r="S651">
        <v>2940.64</v>
      </c>
      <c r="T651" t="s">
        <v>32</v>
      </c>
      <c r="U651" t="s">
        <v>33</v>
      </c>
      <c r="V651">
        <f>IF(OR(B651="Invalid Date",C651="Invalid Date"),"Invalid Date",C651-B651)</f>
        <v>8</v>
      </c>
      <c r="W651" s="4" t="str">
        <f>IF(OR(B651="Invalid Date",C651="Invalid Date"),"Invalid Date",IF(C651&lt;B651,"Invalid Shipping","OK"))</f>
        <v>OK</v>
      </c>
      <c r="X651">
        <f t="shared" si="80"/>
        <v>1</v>
      </c>
      <c r="Y651">
        <f t="shared" si="81"/>
        <v>0.25</v>
      </c>
      <c r="Z651">
        <f t="shared" si="82"/>
        <v>6776.88</v>
      </c>
      <c r="AA651">
        <f t="shared" si="83"/>
        <v>2940.6400000000003</v>
      </c>
      <c r="AB651" s="6">
        <f t="shared" si="84"/>
        <v>0.43392239496641527</v>
      </c>
      <c r="AC651" t="str">
        <f t="shared" si="85"/>
        <v>August</v>
      </c>
      <c r="AD651">
        <f t="shared" si="86"/>
        <v>2025</v>
      </c>
      <c r="AE651" t="str">
        <f t="shared" si="87"/>
        <v>Clean</v>
      </c>
    </row>
    <row r="652" spans="1:31">
      <c r="A652" t="s">
        <v>2039</v>
      </c>
      <c r="B652" s="3" t="s">
        <v>2763</v>
      </c>
      <c r="C652" s="3">
        <v>45403</v>
      </c>
      <c r="D652" t="s">
        <v>378</v>
      </c>
      <c r="E652" t="s">
        <v>128</v>
      </c>
      <c r="F652" t="s">
        <v>95</v>
      </c>
      <c r="G652" t="s">
        <v>38</v>
      </c>
      <c r="H652" t="s">
        <v>145</v>
      </c>
      <c r="I652" t="s">
        <v>146</v>
      </c>
      <c r="J652" t="s">
        <v>74</v>
      </c>
      <c r="K652" t="s">
        <v>75</v>
      </c>
      <c r="L652" t="s">
        <v>2040</v>
      </c>
      <c r="M652" t="s">
        <v>44</v>
      </c>
      <c r="N652">
        <v>7</v>
      </c>
      <c r="O652">
        <v>2648.76</v>
      </c>
      <c r="P652">
        <v>0.15</v>
      </c>
      <c r="Q652">
        <v>15760.12</v>
      </c>
      <c r="R652">
        <v>9931.5300000000007</v>
      </c>
      <c r="S652">
        <v>5828.59</v>
      </c>
      <c r="T652" t="s">
        <v>155</v>
      </c>
      <c r="U652" t="s">
        <v>103</v>
      </c>
      <c r="V652" t="str">
        <f>IF(OR(B652="Invalid Date",C652="Invalid Date"),"Invalid Date",C652-B652)</f>
        <v>Invalid Date</v>
      </c>
      <c r="W652" s="4" t="str">
        <f>IF(OR(B652="Invalid Date",C652="Invalid Date"),"Invalid Date",IF(C652&lt;B652,"Invalid Shipping","OK"))</f>
        <v>Invalid Date</v>
      </c>
      <c r="X652">
        <f t="shared" si="80"/>
        <v>1</v>
      </c>
      <c r="Y652">
        <f t="shared" si="81"/>
        <v>0.15</v>
      </c>
      <c r="Z652">
        <f t="shared" si="82"/>
        <v>15760.121999999999</v>
      </c>
      <c r="AA652">
        <f t="shared" si="83"/>
        <v>5828.5919999999987</v>
      </c>
      <c r="AB652" s="6">
        <f t="shared" si="84"/>
        <v>0.36983165485647884</v>
      </c>
      <c r="AC652" t="str">
        <f t="shared" si="85"/>
        <v/>
      </c>
      <c r="AD652" t="str">
        <f t="shared" si="86"/>
        <v/>
      </c>
      <c r="AE652" t="str">
        <f t="shared" si="87"/>
        <v>Invalid</v>
      </c>
    </row>
    <row r="653" spans="1:31">
      <c r="A653" t="s">
        <v>2041</v>
      </c>
      <c r="B653" s="3">
        <v>45875</v>
      </c>
      <c r="C653" s="3">
        <v>45878</v>
      </c>
      <c r="D653" t="s">
        <v>2042</v>
      </c>
      <c r="E653" t="s">
        <v>36</v>
      </c>
      <c r="F653" t="s">
        <v>37</v>
      </c>
      <c r="G653" t="s">
        <v>54</v>
      </c>
      <c r="H653" t="s">
        <v>84</v>
      </c>
      <c r="I653" t="s">
        <v>85</v>
      </c>
      <c r="J653" t="s">
        <v>28</v>
      </c>
      <c r="K653" t="s">
        <v>29</v>
      </c>
      <c r="L653" t="s">
        <v>2043</v>
      </c>
      <c r="M653" t="s">
        <v>31</v>
      </c>
      <c r="N653">
        <v>3</v>
      </c>
      <c r="O653">
        <v>598.54999999999995</v>
      </c>
      <c r="P653">
        <v>0</v>
      </c>
      <c r="Q653">
        <v>1795.65</v>
      </c>
      <c r="R653">
        <v>996.72</v>
      </c>
      <c r="S653">
        <v>798.93</v>
      </c>
      <c r="T653" t="s">
        <v>32</v>
      </c>
      <c r="U653" t="s">
        <v>33</v>
      </c>
      <c r="V653">
        <f>IF(OR(B653="Invalid Date",C653="Invalid Date"),"Invalid Date",C653-B653)</f>
        <v>3</v>
      </c>
      <c r="W653" s="4" t="str">
        <f>IF(OR(B653="Invalid Date",C653="Invalid Date"),"Invalid Date",IF(C653&lt;B653,"Invalid Shipping","OK"))</f>
        <v>OK</v>
      </c>
      <c r="X653">
        <f t="shared" si="80"/>
        <v>1</v>
      </c>
      <c r="Y653">
        <f t="shared" si="81"/>
        <v>0</v>
      </c>
      <c r="Z653">
        <f t="shared" si="82"/>
        <v>1795.6499999999999</v>
      </c>
      <c r="AA653">
        <f t="shared" si="83"/>
        <v>798.92999999999984</v>
      </c>
      <c r="AB653" s="6">
        <f t="shared" si="84"/>
        <v>0.44492523598696843</v>
      </c>
      <c r="AC653" t="str">
        <f t="shared" si="85"/>
        <v>August</v>
      </c>
      <c r="AD653">
        <f t="shared" si="86"/>
        <v>2025</v>
      </c>
      <c r="AE653" t="str">
        <f t="shared" si="87"/>
        <v>Clean</v>
      </c>
    </row>
    <row r="654" spans="1:31">
      <c r="A654" t="s">
        <v>2044</v>
      </c>
      <c r="B654" s="3" t="s">
        <v>2763</v>
      </c>
      <c r="C654" s="3">
        <v>45737</v>
      </c>
      <c r="D654" t="s">
        <v>1688</v>
      </c>
      <c r="E654" t="s">
        <v>132</v>
      </c>
      <c r="F654" t="s">
        <v>24</v>
      </c>
      <c r="G654" t="s">
        <v>25</v>
      </c>
      <c r="H654" t="s">
        <v>136</v>
      </c>
      <c r="I654" t="s">
        <v>137</v>
      </c>
      <c r="J654" t="s">
        <v>28</v>
      </c>
      <c r="K654" t="s">
        <v>153</v>
      </c>
      <c r="L654" t="s">
        <v>2045</v>
      </c>
      <c r="M654" t="s">
        <v>59</v>
      </c>
      <c r="N654">
        <v>5</v>
      </c>
      <c r="O654">
        <v>4320.59</v>
      </c>
      <c r="P654">
        <v>0.15</v>
      </c>
      <c r="Q654">
        <v>18362.509999999998</v>
      </c>
      <c r="R654">
        <v>11133.97</v>
      </c>
      <c r="S654">
        <v>7228.54</v>
      </c>
      <c r="T654" t="s">
        <v>32</v>
      </c>
      <c r="U654" t="s">
        <v>33</v>
      </c>
      <c r="V654" t="str">
        <f>IF(OR(B654="Invalid Date",C654="Invalid Date"),"Invalid Date",C654-B654)</f>
        <v>Invalid Date</v>
      </c>
      <c r="W654" s="4" t="str">
        <f>IF(OR(B654="Invalid Date",C654="Invalid Date"),"Invalid Date",IF(C654&lt;B654,"Invalid Shipping","OK"))</f>
        <v>Invalid Date</v>
      </c>
      <c r="X654">
        <f t="shared" si="80"/>
        <v>1</v>
      </c>
      <c r="Y654">
        <f t="shared" si="81"/>
        <v>0.15</v>
      </c>
      <c r="Z654">
        <f t="shared" si="82"/>
        <v>18362.5075</v>
      </c>
      <c r="AA654">
        <f t="shared" si="83"/>
        <v>7228.5375000000004</v>
      </c>
      <c r="AB654" s="6">
        <f t="shared" si="84"/>
        <v>0.39365742941153326</v>
      </c>
      <c r="AC654" t="str">
        <f t="shared" si="85"/>
        <v/>
      </c>
      <c r="AD654" t="str">
        <f t="shared" si="86"/>
        <v/>
      </c>
      <c r="AE654" t="str">
        <f t="shared" si="87"/>
        <v>Invalid</v>
      </c>
    </row>
    <row r="655" spans="1:31">
      <c r="A655" t="s">
        <v>2046</v>
      </c>
      <c r="B655" s="3">
        <v>45751</v>
      </c>
      <c r="C655" s="3">
        <v>45842</v>
      </c>
      <c r="D655" t="s">
        <v>2047</v>
      </c>
      <c r="E655" t="s">
        <v>114</v>
      </c>
      <c r="F655" t="s">
        <v>37</v>
      </c>
      <c r="G655" t="s">
        <v>54</v>
      </c>
      <c r="H655" t="s">
        <v>247</v>
      </c>
      <c r="I655" t="s">
        <v>248</v>
      </c>
      <c r="J655" t="s">
        <v>74</v>
      </c>
      <c r="K655" t="s">
        <v>80</v>
      </c>
      <c r="L655" t="s">
        <v>2048</v>
      </c>
      <c r="M655" t="s">
        <v>31</v>
      </c>
      <c r="N655">
        <v>7</v>
      </c>
      <c r="O655">
        <v>4457.93</v>
      </c>
      <c r="P655">
        <v>0.15</v>
      </c>
      <c r="Q655">
        <v>26524.68</v>
      </c>
      <c r="R655">
        <v>20574.3</v>
      </c>
      <c r="S655">
        <v>5950.38</v>
      </c>
      <c r="T655" t="s">
        <v>32</v>
      </c>
      <c r="U655" t="s">
        <v>33</v>
      </c>
      <c r="V655">
        <f>IF(OR(B655="Invalid Date",C655="Invalid Date"),"Invalid Date",C655-B655)</f>
        <v>91</v>
      </c>
      <c r="W655" s="4" t="str">
        <f>IF(OR(B655="Invalid Date",C655="Invalid Date"),"Invalid Date",IF(C655&lt;B655,"Invalid Shipping","OK"))</f>
        <v>OK</v>
      </c>
      <c r="X655">
        <f t="shared" si="80"/>
        <v>1</v>
      </c>
      <c r="Y655">
        <f t="shared" si="81"/>
        <v>0.15</v>
      </c>
      <c r="Z655">
        <f t="shared" si="82"/>
        <v>26524.683500000003</v>
      </c>
      <c r="AA655">
        <f t="shared" si="83"/>
        <v>5950.3835000000036</v>
      </c>
      <c r="AB655" s="6">
        <f t="shared" si="84"/>
        <v>0.22433381721595294</v>
      </c>
      <c r="AC655" t="str">
        <f t="shared" si="85"/>
        <v>April</v>
      </c>
      <c r="AD655">
        <f t="shared" si="86"/>
        <v>2025</v>
      </c>
      <c r="AE655" t="str">
        <f t="shared" si="87"/>
        <v>Clean</v>
      </c>
    </row>
    <row r="656" spans="1:31">
      <c r="A656" t="s">
        <v>2049</v>
      </c>
      <c r="B656" s="3">
        <v>46001</v>
      </c>
      <c r="C656" s="3">
        <v>45946</v>
      </c>
      <c r="D656" t="s">
        <v>927</v>
      </c>
      <c r="E656" t="s">
        <v>162</v>
      </c>
      <c r="F656" t="s">
        <v>90</v>
      </c>
      <c r="G656" t="s">
        <v>38</v>
      </c>
      <c r="H656" t="s">
        <v>145</v>
      </c>
      <c r="I656" t="s">
        <v>146</v>
      </c>
      <c r="J656" t="s">
        <v>74</v>
      </c>
      <c r="K656" t="s">
        <v>274</v>
      </c>
      <c r="L656" t="s">
        <v>2050</v>
      </c>
      <c r="M656" t="s">
        <v>44</v>
      </c>
      <c r="N656">
        <v>1</v>
      </c>
      <c r="O656">
        <v>2570.06</v>
      </c>
      <c r="P656">
        <v>0.2</v>
      </c>
      <c r="Q656">
        <v>2056.0500000000002</v>
      </c>
      <c r="R656">
        <v>1662.39</v>
      </c>
      <c r="S656">
        <v>393.66</v>
      </c>
      <c r="T656" t="s">
        <v>32</v>
      </c>
      <c r="U656" t="s">
        <v>33</v>
      </c>
      <c r="V656">
        <f>IF(OR(B656="Invalid Date",C656="Invalid Date"),"Invalid Date",C656-B656)</f>
        <v>-55</v>
      </c>
      <c r="W656" s="4" t="str">
        <f>IF(OR(B656="Invalid Date",C656="Invalid Date"),"Invalid Date",IF(C656&lt;B656,"Invalid Shipping","OK"))</f>
        <v>Invalid Shipping</v>
      </c>
      <c r="X656">
        <f t="shared" si="80"/>
        <v>1</v>
      </c>
      <c r="Y656">
        <f t="shared" si="81"/>
        <v>0.2</v>
      </c>
      <c r="Z656">
        <f t="shared" si="82"/>
        <v>2056.0480000000002</v>
      </c>
      <c r="AA656">
        <f t="shared" si="83"/>
        <v>393.65800000000013</v>
      </c>
      <c r="AB656" s="6">
        <f t="shared" si="84"/>
        <v>0.19146342886936496</v>
      </c>
      <c r="AC656" t="str">
        <f t="shared" si="85"/>
        <v>December</v>
      </c>
      <c r="AD656">
        <f t="shared" si="86"/>
        <v>2025</v>
      </c>
      <c r="AE656" t="str">
        <f t="shared" si="87"/>
        <v>Invalid</v>
      </c>
    </row>
    <row r="657" spans="1:31">
      <c r="A657" t="s">
        <v>2051</v>
      </c>
      <c r="B657" s="3" t="s">
        <v>2763</v>
      </c>
      <c r="C657" s="3" t="s">
        <v>2763</v>
      </c>
      <c r="D657" t="s">
        <v>2052</v>
      </c>
      <c r="E657" t="s">
        <v>79</v>
      </c>
      <c r="F657" t="s">
        <v>95</v>
      </c>
      <c r="G657" t="s">
        <v>38</v>
      </c>
      <c r="H657" t="s">
        <v>99</v>
      </c>
      <c r="I657" t="s">
        <v>100</v>
      </c>
      <c r="J657" t="s">
        <v>41</v>
      </c>
      <c r="K657" t="s">
        <v>57</v>
      </c>
      <c r="L657" t="s">
        <v>2053</v>
      </c>
      <c r="M657" t="s">
        <v>59</v>
      </c>
      <c r="N657">
        <v>4</v>
      </c>
      <c r="O657">
        <v>2151.8200000000002</v>
      </c>
      <c r="P657">
        <v>0</v>
      </c>
      <c r="Q657">
        <v>8607.2800000000007</v>
      </c>
      <c r="R657">
        <v>5124.01</v>
      </c>
      <c r="S657">
        <v>3483.27</v>
      </c>
      <c r="T657" t="s">
        <v>32</v>
      </c>
      <c r="U657" t="s">
        <v>33</v>
      </c>
      <c r="V657" t="str">
        <f>IF(OR(B657="Invalid Date",C657="Invalid Date"),"Invalid Date",C657-B657)</f>
        <v>Invalid Date</v>
      </c>
      <c r="W657" s="4" t="str">
        <f>IF(OR(B657="Invalid Date",C657="Invalid Date"),"Invalid Date",IF(C657&lt;B657,"Invalid Shipping","OK"))</f>
        <v>Invalid Date</v>
      </c>
      <c r="X657">
        <f t="shared" si="80"/>
        <v>1</v>
      </c>
      <c r="Y657">
        <f t="shared" si="81"/>
        <v>0</v>
      </c>
      <c r="Z657">
        <f t="shared" si="82"/>
        <v>8607.2800000000007</v>
      </c>
      <c r="AA657">
        <f t="shared" si="83"/>
        <v>3483.2700000000004</v>
      </c>
      <c r="AB657" s="6">
        <f t="shared" si="84"/>
        <v>0.40468882155570635</v>
      </c>
      <c r="AC657" t="str">
        <f t="shared" si="85"/>
        <v/>
      </c>
      <c r="AD657" t="str">
        <f t="shared" si="86"/>
        <v/>
      </c>
      <c r="AE657" t="str">
        <f t="shared" si="87"/>
        <v>Invalid</v>
      </c>
    </row>
    <row r="658" spans="1:31">
      <c r="A658" t="s">
        <v>2054</v>
      </c>
      <c r="B658" s="3">
        <v>45419</v>
      </c>
      <c r="C658" s="3" t="s">
        <v>2763</v>
      </c>
      <c r="D658" t="s">
        <v>2055</v>
      </c>
      <c r="E658" t="s">
        <v>79</v>
      </c>
      <c r="F658" t="s">
        <v>37</v>
      </c>
      <c r="G658" t="s">
        <v>25</v>
      </c>
      <c r="H658" t="s">
        <v>236</v>
      </c>
      <c r="I658" t="s">
        <v>237</v>
      </c>
      <c r="J658" t="s">
        <v>74</v>
      </c>
      <c r="K658" t="s">
        <v>274</v>
      </c>
      <c r="L658" t="s">
        <v>2056</v>
      </c>
      <c r="M658" t="s">
        <v>44</v>
      </c>
      <c r="N658">
        <v>4</v>
      </c>
      <c r="O658">
        <v>2751.1</v>
      </c>
      <c r="P658">
        <v>-0.05</v>
      </c>
      <c r="Q658">
        <v>9903.9599999999991</v>
      </c>
      <c r="R658">
        <v>7696.28</v>
      </c>
      <c r="S658">
        <v>2207.6799999999998</v>
      </c>
      <c r="T658" t="s">
        <v>32</v>
      </c>
      <c r="U658" t="s">
        <v>33</v>
      </c>
      <c r="V658" t="str">
        <f>IF(OR(B658="Invalid Date",C658="Invalid Date"),"Invalid Date",C658-B658)</f>
        <v>Invalid Date</v>
      </c>
      <c r="W658" s="4" t="str">
        <f>IF(OR(B658="Invalid Date",C658="Invalid Date"),"Invalid Date",IF(C658&lt;B658,"Invalid Shipping","OK"))</f>
        <v>Invalid Date</v>
      </c>
      <c r="X658">
        <f t="shared" si="80"/>
        <v>1</v>
      </c>
      <c r="Y658" t="str">
        <f t="shared" si="81"/>
        <v>Invalid</v>
      </c>
      <c r="Z658" t="str">
        <f t="shared" si="82"/>
        <v/>
      </c>
      <c r="AA658" t="str">
        <f t="shared" si="83"/>
        <v/>
      </c>
      <c r="AB658" s="6" t="str">
        <f t="shared" si="84"/>
        <v/>
      </c>
      <c r="AC658" t="str">
        <f t="shared" si="85"/>
        <v>May</v>
      </c>
      <c r="AD658">
        <f t="shared" si="86"/>
        <v>2024</v>
      </c>
      <c r="AE658" t="str">
        <f t="shared" si="87"/>
        <v>Invalid</v>
      </c>
    </row>
    <row r="659" spans="1:31">
      <c r="A659" t="s">
        <v>2057</v>
      </c>
      <c r="B659" s="3">
        <v>45846</v>
      </c>
      <c r="C659" s="3">
        <v>45879</v>
      </c>
      <c r="D659" t="s">
        <v>2058</v>
      </c>
      <c r="E659" t="s">
        <v>89</v>
      </c>
      <c r="F659" t="s">
        <v>95</v>
      </c>
      <c r="G659" t="s">
        <v>38</v>
      </c>
      <c r="H659" t="s">
        <v>145</v>
      </c>
      <c r="I659" t="s">
        <v>146</v>
      </c>
      <c r="J659" t="s">
        <v>28</v>
      </c>
      <c r="K659" t="s">
        <v>124</v>
      </c>
      <c r="L659" t="s">
        <v>2059</v>
      </c>
      <c r="M659" t="s">
        <v>31</v>
      </c>
      <c r="N659">
        <v>1</v>
      </c>
      <c r="O659">
        <v>2541.25</v>
      </c>
      <c r="P659">
        <v>0.2</v>
      </c>
      <c r="Q659">
        <v>2033</v>
      </c>
      <c r="R659">
        <v>1291.4100000000001</v>
      </c>
      <c r="S659">
        <v>741.59</v>
      </c>
      <c r="T659" t="s">
        <v>32</v>
      </c>
      <c r="U659" t="s">
        <v>33</v>
      </c>
      <c r="V659">
        <f>IF(OR(B659="Invalid Date",C659="Invalid Date"),"Invalid Date",C659-B659)</f>
        <v>33</v>
      </c>
      <c r="W659" s="4" t="str">
        <f>IF(OR(B659="Invalid Date",C659="Invalid Date"),"Invalid Date",IF(C659&lt;B659,"Invalid Shipping","OK"))</f>
        <v>OK</v>
      </c>
      <c r="X659">
        <f t="shared" si="80"/>
        <v>1</v>
      </c>
      <c r="Y659">
        <f t="shared" si="81"/>
        <v>0.2</v>
      </c>
      <c r="Z659">
        <f t="shared" si="82"/>
        <v>2033</v>
      </c>
      <c r="AA659">
        <f t="shared" si="83"/>
        <v>741.58999999999992</v>
      </c>
      <c r="AB659" s="6">
        <f t="shared" si="84"/>
        <v>0.36477619281849477</v>
      </c>
      <c r="AC659" t="str">
        <f t="shared" si="85"/>
        <v>July</v>
      </c>
      <c r="AD659">
        <f t="shared" si="86"/>
        <v>2025</v>
      </c>
      <c r="AE659" t="str">
        <f t="shared" si="87"/>
        <v>Clean</v>
      </c>
    </row>
    <row r="660" spans="1:31">
      <c r="A660" t="s">
        <v>2060</v>
      </c>
      <c r="B660" s="3">
        <v>45817</v>
      </c>
      <c r="C660" s="3">
        <v>45997</v>
      </c>
      <c r="D660" t="s">
        <v>2061</v>
      </c>
      <c r="E660" t="s">
        <v>132</v>
      </c>
      <c r="F660" t="s">
        <v>24</v>
      </c>
      <c r="G660" t="s">
        <v>2767</v>
      </c>
      <c r="H660" t="s">
        <v>145</v>
      </c>
      <c r="I660" t="s">
        <v>146</v>
      </c>
      <c r="J660" t="s">
        <v>28</v>
      </c>
      <c r="K660" t="s">
        <v>48</v>
      </c>
      <c r="L660" t="s">
        <v>2062</v>
      </c>
      <c r="M660" t="s">
        <v>50</v>
      </c>
      <c r="N660">
        <v>7</v>
      </c>
      <c r="O660">
        <v>2852.42</v>
      </c>
      <c r="P660">
        <v>0</v>
      </c>
      <c r="Q660">
        <v>19966.939999999999</v>
      </c>
      <c r="R660">
        <v>12690.83</v>
      </c>
      <c r="S660">
        <v>7276.11</v>
      </c>
      <c r="T660" t="s">
        <v>102</v>
      </c>
      <c r="U660" t="s">
        <v>68</v>
      </c>
      <c r="V660">
        <f>IF(OR(B660="Invalid Date",C660="Invalid Date"),"Invalid Date",C660-B660)</f>
        <v>180</v>
      </c>
      <c r="W660" s="4" t="str">
        <f>IF(OR(B660="Invalid Date",C660="Invalid Date"),"Invalid Date",IF(C660&lt;B660,"Invalid Shipping","OK"))</f>
        <v>OK</v>
      </c>
      <c r="X660">
        <f t="shared" si="80"/>
        <v>1</v>
      </c>
      <c r="Y660">
        <f t="shared" si="81"/>
        <v>0</v>
      </c>
      <c r="Z660">
        <f t="shared" si="82"/>
        <v>19966.940000000002</v>
      </c>
      <c r="AA660">
        <f t="shared" si="83"/>
        <v>7276.1100000000024</v>
      </c>
      <c r="AB660" s="6">
        <f t="shared" si="84"/>
        <v>0.36440786620283339</v>
      </c>
      <c r="AC660" t="str">
        <f t="shared" si="85"/>
        <v>June</v>
      </c>
      <c r="AD660">
        <f t="shared" si="86"/>
        <v>2025</v>
      </c>
      <c r="AE660" t="str">
        <f t="shared" si="87"/>
        <v>Warning</v>
      </c>
    </row>
    <row r="661" spans="1:31">
      <c r="A661" t="s">
        <v>2063</v>
      </c>
      <c r="B661" s="3">
        <v>45678</v>
      </c>
      <c r="C661" s="3">
        <v>45679</v>
      </c>
      <c r="D661" t="s">
        <v>2064</v>
      </c>
      <c r="E661" t="s">
        <v>162</v>
      </c>
      <c r="F661" t="s">
        <v>90</v>
      </c>
      <c r="G661" t="s">
        <v>54</v>
      </c>
      <c r="H661" t="s">
        <v>175</v>
      </c>
      <c r="I661" t="s">
        <v>176</v>
      </c>
      <c r="J661" t="s">
        <v>74</v>
      </c>
      <c r="K661" t="s">
        <v>171</v>
      </c>
      <c r="L661" t="s">
        <v>2065</v>
      </c>
      <c r="M661" t="s">
        <v>31</v>
      </c>
      <c r="N661">
        <v>2</v>
      </c>
      <c r="O661">
        <v>444.31</v>
      </c>
      <c r="P661">
        <v>0.2</v>
      </c>
      <c r="Q661">
        <v>710.9</v>
      </c>
      <c r="R661">
        <v>513.88</v>
      </c>
      <c r="S661">
        <v>197.02</v>
      </c>
      <c r="T661" t="s">
        <v>102</v>
      </c>
      <c r="U661" t="s">
        <v>68</v>
      </c>
      <c r="V661">
        <f>IF(OR(B661="Invalid Date",C661="Invalid Date"),"Invalid Date",C661-B661)</f>
        <v>1</v>
      </c>
      <c r="W661" s="4" t="str">
        <f>IF(OR(B661="Invalid Date",C661="Invalid Date"),"Invalid Date",IF(C661&lt;B661,"Invalid Shipping","OK"))</f>
        <v>OK</v>
      </c>
      <c r="X661">
        <f t="shared" si="80"/>
        <v>1</v>
      </c>
      <c r="Y661">
        <f t="shared" si="81"/>
        <v>0.2</v>
      </c>
      <c r="Z661">
        <f t="shared" si="82"/>
        <v>710.89600000000007</v>
      </c>
      <c r="AA661">
        <f t="shared" si="83"/>
        <v>197.01600000000008</v>
      </c>
      <c r="AB661" s="6">
        <f t="shared" si="84"/>
        <v>0.27713758411919615</v>
      </c>
      <c r="AC661" t="str">
        <f t="shared" si="85"/>
        <v>January</v>
      </c>
      <c r="AD661">
        <f t="shared" si="86"/>
        <v>2025</v>
      </c>
      <c r="AE661" t="str">
        <f t="shared" si="87"/>
        <v>Clean</v>
      </c>
    </row>
    <row r="662" spans="1:31">
      <c r="A662" t="s">
        <v>2066</v>
      </c>
      <c r="B662" s="3" t="s">
        <v>2763</v>
      </c>
      <c r="C662" s="3">
        <v>45853</v>
      </c>
      <c r="D662" t="s">
        <v>2067</v>
      </c>
      <c r="E662" t="s">
        <v>53</v>
      </c>
      <c r="F662" t="s">
        <v>37</v>
      </c>
      <c r="G662" t="s">
        <v>38</v>
      </c>
      <c r="H662" t="s">
        <v>228</v>
      </c>
      <c r="I662" t="s">
        <v>229</v>
      </c>
      <c r="J662" t="s">
        <v>74</v>
      </c>
      <c r="K662" t="s">
        <v>171</v>
      </c>
      <c r="L662" t="s">
        <v>2068</v>
      </c>
      <c r="M662" t="s">
        <v>44</v>
      </c>
      <c r="N662">
        <v>4</v>
      </c>
      <c r="O662">
        <v>4442.91</v>
      </c>
      <c r="P662">
        <v>0.1</v>
      </c>
      <c r="Q662">
        <v>15994.48</v>
      </c>
      <c r="R662">
        <v>9224.2800000000007</v>
      </c>
      <c r="S662">
        <v>6770.2</v>
      </c>
      <c r="T662" t="s">
        <v>32</v>
      </c>
      <c r="U662" t="s">
        <v>33</v>
      </c>
      <c r="V662" t="str">
        <f>IF(OR(B662="Invalid Date",C662="Invalid Date"),"Invalid Date",C662-B662)</f>
        <v>Invalid Date</v>
      </c>
      <c r="W662" s="4" t="str">
        <f>IF(OR(B662="Invalid Date",C662="Invalid Date"),"Invalid Date",IF(C662&lt;B662,"Invalid Shipping","OK"))</f>
        <v>Invalid Date</v>
      </c>
      <c r="X662">
        <f t="shared" si="80"/>
        <v>1</v>
      </c>
      <c r="Y662">
        <f t="shared" si="81"/>
        <v>0.1</v>
      </c>
      <c r="Z662">
        <f t="shared" si="82"/>
        <v>15994.476000000001</v>
      </c>
      <c r="AA662">
        <f t="shared" si="83"/>
        <v>6770.1959999999999</v>
      </c>
      <c r="AB662" s="6">
        <f t="shared" si="84"/>
        <v>0.42328338858991066</v>
      </c>
      <c r="AC662" t="str">
        <f t="shared" si="85"/>
        <v/>
      </c>
      <c r="AD662" t="str">
        <f t="shared" si="86"/>
        <v/>
      </c>
      <c r="AE662" t="str">
        <f t="shared" si="87"/>
        <v>Invalid</v>
      </c>
    </row>
    <row r="663" spans="1:31">
      <c r="A663" t="s">
        <v>2069</v>
      </c>
      <c r="B663" s="3">
        <v>45429</v>
      </c>
      <c r="C663" s="3">
        <v>45434</v>
      </c>
      <c r="D663" t="s">
        <v>2070</v>
      </c>
      <c r="E663" t="s">
        <v>132</v>
      </c>
      <c r="F663" t="s">
        <v>24</v>
      </c>
      <c r="G663" t="s">
        <v>54</v>
      </c>
      <c r="H663" t="s">
        <v>84</v>
      </c>
      <c r="I663" t="s">
        <v>85</v>
      </c>
      <c r="J663" t="s">
        <v>74</v>
      </c>
      <c r="K663" t="s">
        <v>274</v>
      </c>
      <c r="L663" t="s">
        <v>2071</v>
      </c>
      <c r="M663" t="s">
        <v>31</v>
      </c>
      <c r="N663">
        <v>7</v>
      </c>
      <c r="O663">
        <v>232.5</v>
      </c>
      <c r="P663">
        <v>0</v>
      </c>
      <c r="Q663">
        <v>1627.5</v>
      </c>
      <c r="R663">
        <v>939.9</v>
      </c>
      <c r="S663">
        <v>687.6</v>
      </c>
      <c r="T663" t="s">
        <v>32</v>
      </c>
      <c r="U663" t="s">
        <v>33</v>
      </c>
      <c r="V663">
        <f>IF(OR(B663="Invalid Date",C663="Invalid Date"),"Invalid Date",C663-B663)</f>
        <v>5</v>
      </c>
      <c r="W663" s="4" t="str">
        <f>IF(OR(B663="Invalid Date",C663="Invalid Date"),"Invalid Date",IF(C663&lt;B663,"Invalid Shipping","OK"))</f>
        <v>OK</v>
      </c>
      <c r="X663">
        <f t="shared" si="80"/>
        <v>1</v>
      </c>
      <c r="Y663">
        <f t="shared" si="81"/>
        <v>0</v>
      </c>
      <c r="Z663">
        <f t="shared" si="82"/>
        <v>1627.5</v>
      </c>
      <c r="AA663">
        <f t="shared" si="83"/>
        <v>687.6</v>
      </c>
      <c r="AB663" s="6">
        <f t="shared" si="84"/>
        <v>0.4224884792626728</v>
      </c>
      <c r="AC663" t="str">
        <f t="shared" si="85"/>
        <v>May</v>
      </c>
      <c r="AD663">
        <f t="shared" si="86"/>
        <v>2024</v>
      </c>
      <c r="AE663" t="str">
        <f t="shared" si="87"/>
        <v>Clean</v>
      </c>
    </row>
    <row r="664" spans="1:31">
      <c r="A664" t="s">
        <v>2072</v>
      </c>
      <c r="B664" s="3">
        <v>45305</v>
      </c>
      <c r="C664" s="3">
        <v>45309</v>
      </c>
      <c r="D664" t="s">
        <v>2073</v>
      </c>
      <c r="E664" t="s">
        <v>36</v>
      </c>
      <c r="F664" t="s">
        <v>95</v>
      </c>
      <c r="G664" t="s">
        <v>63</v>
      </c>
      <c r="H664" t="s">
        <v>26</v>
      </c>
      <c r="I664" t="s">
        <v>109</v>
      </c>
      <c r="J664" t="s">
        <v>74</v>
      </c>
      <c r="K664" t="s">
        <v>274</v>
      </c>
      <c r="L664" t="s">
        <v>2074</v>
      </c>
      <c r="M664" t="s">
        <v>44</v>
      </c>
      <c r="N664">
        <v>6</v>
      </c>
      <c r="O664">
        <v>1784.8</v>
      </c>
      <c r="P664">
        <v>0.1</v>
      </c>
      <c r="Q664">
        <v>9637.92</v>
      </c>
      <c r="R664">
        <v>7329.29</v>
      </c>
      <c r="S664">
        <v>2308.63</v>
      </c>
      <c r="T664" t="s">
        <v>32</v>
      </c>
      <c r="U664" t="s">
        <v>33</v>
      </c>
      <c r="V664">
        <f>IF(OR(B664="Invalid Date",C664="Invalid Date"),"Invalid Date",C664-B664)</f>
        <v>4</v>
      </c>
      <c r="W664" s="4" t="str">
        <f>IF(OR(B664="Invalid Date",C664="Invalid Date"),"Invalid Date",IF(C664&lt;B664,"Invalid Shipping","OK"))</f>
        <v>OK</v>
      </c>
      <c r="X664">
        <f t="shared" si="80"/>
        <v>1</v>
      </c>
      <c r="Y664">
        <f t="shared" si="81"/>
        <v>0.1</v>
      </c>
      <c r="Z664">
        <f t="shared" si="82"/>
        <v>9637.92</v>
      </c>
      <c r="AA664">
        <f t="shared" si="83"/>
        <v>2308.63</v>
      </c>
      <c r="AB664" s="6">
        <f t="shared" si="84"/>
        <v>0.2395361239769577</v>
      </c>
      <c r="AC664" t="str">
        <f t="shared" si="85"/>
        <v>January</v>
      </c>
      <c r="AD664">
        <f t="shared" si="86"/>
        <v>2024</v>
      </c>
      <c r="AE664" t="str">
        <f t="shared" si="87"/>
        <v>Clean</v>
      </c>
    </row>
    <row r="665" spans="1:31">
      <c r="A665" t="s">
        <v>2075</v>
      </c>
      <c r="B665" s="3">
        <v>45327</v>
      </c>
      <c r="C665" s="3">
        <v>45420</v>
      </c>
      <c r="D665" t="s">
        <v>2076</v>
      </c>
      <c r="E665" t="s">
        <v>118</v>
      </c>
      <c r="F665" t="s">
        <v>95</v>
      </c>
      <c r="G665" t="s">
        <v>38</v>
      </c>
      <c r="H665" t="s">
        <v>228</v>
      </c>
      <c r="I665" t="s">
        <v>229</v>
      </c>
      <c r="J665" t="s">
        <v>74</v>
      </c>
      <c r="K665" t="s">
        <v>80</v>
      </c>
      <c r="L665" t="s">
        <v>2077</v>
      </c>
      <c r="M665" t="s">
        <v>31</v>
      </c>
      <c r="N665">
        <v>2</v>
      </c>
      <c r="O665">
        <v>3185.01</v>
      </c>
      <c r="P665">
        <v>-0.24</v>
      </c>
      <c r="Q665">
        <v>4777.5200000000004</v>
      </c>
      <c r="R665">
        <v>3152.98</v>
      </c>
      <c r="S665">
        <v>1624.54</v>
      </c>
      <c r="T665" t="s">
        <v>32</v>
      </c>
      <c r="U665" t="s">
        <v>33</v>
      </c>
      <c r="V665">
        <f>IF(OR(B665="Invalid Date",C665="Invalid Date"),"Invalid Date",C665-B665)</f>
        <v>93</v>
      </c>
      <c r="W665" s="4" t="str">
        <f>IF(OR(B665="Invalid Date",C665="Invalid Date"),"Invalid Date",IF(C665&lt;B665,"Invalid Shipping","OK"))</f>
        <v>OK</v>
      </c>
      <c r="X665">
        <f t="shared" si="80"/>
        <v>1</v>
      </c>
      <c r="Y665" t="str">
        <f t="shared" si="81"/>
        <v>Invalid</v>
      </c>
      <c r="Z665" t="str">
        <f t="shared" si="82"/>
        <v/>
      </c>
      <c r="AA665" t="str">
        <f t="shared" si="83"/>
        <v/>
      </c>
      <c r="AB665" s="6" t="str">
        <f t="shared" si="84"/>
        <v/>
      </c>
      <c r="AC665" t="str">
        <f t="shared" si="85"/>
        <v>February</v>
      </c>
      <c r="AD665">
        <f t="shared" si="86"/>
        <v>2024</v>
      </c>
      <c r="AE665" t="str">
        <f t="shared" si="87"/>
        <v>Invalid</v>
      </c>
    </row>
    <row r="666" spans="1:31">
      <c r="A666" t="s">
        <v>2078</v>
      </c>
      <c r="B666" s="3">
        <v>45633</v>
      </c>
      <c r="C666" s="3">
        <v>45636</v>
      </c>
      <c r="D666" t="s">
        <v>2079</v>
      </c>
      <c r="E666" t="s">
        <v>36</v>
      </c>
      <c r="F666" t="s">
        <v>95</v>
      </c>
      <c r="G666" t="s">
        <v>54</v>
      </c>
      <c r="H666" t="s">
        <v>55</v>
      </c>
      <c r="I666" t="s">
        <v>56</v>
      </c>
      <c r="J666" t="s">
        <v>74</v>
      </c>
      <c r="K666" t="s">
        <v>75</v>
      </c>
      <c r="L666" t="s">
        <v>2080</v>
      </c>
      <c r="M666" t="s">
        <v>59</v>
      </c>
      <c r="N666">
        <v>1</v>
      </c>
      <c r="O666">
        <v>1908.83</v>
      </c>
      <c r="P666">
        <v>0.2</v>
      </c>
      <c r="Q666">
        <v>1527.06</v>
      </c>
      <c r="R666">
        <v>1055.8900000000001</v>
      </c>
      <c r="S666">
        <v>471.17</v>
      </c>
      <c r="T666" t="s">
        <v>32</v>
      </c>
      <c r="U666" t="s">
        <v>33</v>
      </c>
      <c r="V666">
        <f>IF(OR(B666="Invalid Date",C666="Invalid Date"),"Invalid Date",C666-B666)</f>
        <v>3</v>
      </c>
      <c r="W666" s="4" t="str">
        <f>IF(OR(B666="Invalid Date",C666="Invalid Date"),"Invalid Date",IF(C666&lt;B666,"Invalid Shipping","OK"))</f>
        <v>OK</v>
      </c>
      <c r="X666">
        <f t="shared" si="80"/>
        <v>1</v>
      </c>
      <c r="Y666">
        <f t="shared" si="81"/>
        <v>0.2</v>
      </c>
      <c r="Z666">
        <f t="shared" si="82"/>
        <v>1527.0640000000001</v>
      </c>
      <c r="AA666">
        <f t="shared" si="83"/>
        <v>471.17399999999998</v>
      </c>
      <c r="AB666" s="6">
        <f t="shared" si="84"/>
        <v>0.30854895407134209</v>
      </c>
      <c r="AC666" t="str">
        <f t="shared" si="85"/>
        <v>December</v>
      </c>
      <c r="AD666">
        <f t="shared" si="86"/>
        <v>2024</v>
      </c>
      <c r="AE666" t="str">
        <f t="shared" si="87"/>
        <v>Clean</v>
      </c>
    </row>
    <row r="667" spans="1:31">
      <c r="A667" t="s">
        <v>2081</v>
      </c>
      <c r="B667" s="3">
        <v>45670</v>
      </c>
      <c r="C667" s="3" t="s">
        <v>2763</v>
      </c>
      <c r="D667" t="s">
        <v>2082</v>
      </c>
      <c r="E667" t="s">
        <v>118</v>
      </c>
      <c r="F667" t="s">
        <v>95</v>
      </c>
      <c r="G667" t="s">
        <v>63</v>
      </c>
      <c r="H667" t="s">
        <v>180</v>
      </c>
      <c r="I667" t="s">
        <v>181</v>
      </c>
      <c r="J667" t="s">
        <v>28</v>
      </c>
      <c r="K667" t="s">
        <v>48</v>
      </c>
      <c r="L667" t="s">
        <v>2083</v>
      </c>
      <c r="M667" t="s">
        <v>59</v>
      </c>
      <c r="N667">
        <v>3</v>
      </c>
      <c r="O667">
        <v>2110.52</v>
      </c>
      <c r="P667">
        <v>0.1</v>
      </c>
      <c r="Q667">
        <v>5698.4</v>
      </c>
      <c r="R667">
        <v>3640.89</v>
      </c>
      <c r="S667">
        <v>2057.5100000000002</v>
      </c>
      <c r="T667" t="s">
        <v>155</v>
      </c>
      <c r="U667" t="s">
        <v>68</v>
      </c>
      <c r="V667" t="str">
        <f>IF(OR(B667="Invalid Date",C667="Invalid Date"),"Invalid Date",C667-B667)</f>
        <v>Invalid Date</v>
      </c>
      <c r="W667" s="4" t="str">
        <f>IF(OR(B667="Invalid Date",C667="Invalid Date"),"Invalid Date",IF(C667&lt;B667,"Invalid Shipping","OK"))</f>
        <v>Invalid Date</v>
      </c>
      <c r="X667">
        <f t="shared" si="80"/>
        <v>1</v>
      </c>
      <c r="Y667">
        <f t="shared" si="81"/>
        <v>0.1</v>
      </c>
      <c r="Z667">
        <f t="shared" si="82"/>
        <v>5698.4039999999995</v>
      </c>
      <c r="AA667">
        <f t="shared" si="83"/>
        <v>2057.5139999999997</v>
      </c>
      <c r="AB667" s="6">
        <f t="shared" si="84"/>
        <v>0.36106846759197836</v>
      </c>
      <c r="AC667" t="str">
        <f t="shared" si="85"/>
        <v>January</v>
      </c>
      <c r="AD667">
        <f t="shared" si="86"/>
        <v>2025</v>
      </c>
      <c r="AE667" t="str">
        <f t="shared" si="87"/>
        <v>Invalid</v>
      </c>
    </row>
    <row r="668" spans="1:31">
      <c r="A668" t="s">
        <v>2084</v>
      </c>
      <c r="B668" s="3">
        <v>45464</v>
      </c>
      <c r="C668" s="3" t="s">
        <v>2763</v>
      </c>
      <c r="D668" t="s">
        <v>2085</v>
      </c>
      <c r="E668" t="s">
        <v>141</v>
      </c>
      <c r="F668" t="s">
        <v>37</v>
      </c>
      <c r="G668" t="s">
        <v>25</v>
      </c>
      <c r="H668" t="s">
        <v>122</v>
      </c>
      <c r="I668" t="s">
        <v>123</v>
      </c>
      <c r="J668" t="s">
        <v>74</v>
      </c>
      <c r="K668" t="s">
        <v>80</v>
      </c>
      <c r="L668" t="s">
        <v>2086</v>
      </c>
      <c r="M668" t="s">
        <v>44</v>
      </c>
      <c r="N668">
        <v>1</v>
      </c>
      <c r="O668">
        <v>279.83</v>
      </c>
      <c r="P668">
        <v>0.05</v>
      </c>
      <c r="Q668">
        <v>265.83999999999997</v>
      </c>
      <c r="R668">
        <v>223.49</v>
      </c>
      <c r="S668">
        <v>42.35</v>
      </c>
      <c r="T668" t="s">
        <v>32</v>
      </c>
      <c r="U668" t="s">
        <v>33</v>
      </c>
      <c r="V668" t="str">
        <f>IF(OR(B668="Invalid Date",C668="Invalid Date"),"Invalid Date",C668-B668)</f>
        <v>Invalid Date</v>
      </c>
      <c r="W668" s="4" t="str">
        <f>IF(OR(B668="Invalid Date",C668="Invalid Date"),"Invalid Date",IF(C668&lt;B668,"Invalid Shipping","OK"))</f>
        <v>Invalid Date</v>
      </c>
      <c r="X668">
        <f t="shared" si="80"/>
        <v>1</v>
      </c>
      <c r="Y668">
        <f t="shared" si="81"/>
        <v>0.05</v>
      </c>
      <c r="Z668">
        <f t="shared" si="82"/>
        <v>265.83849999999995</v>
      </c>
      <c r="AA668">
        <f t="shared" si="83"/>
        <v>42.348499999999945</v>
      </c>
      <c r="AB668" s="6">
        <f t="shared" si="84"/>
        <v>0.15930160605028976</v>
      </c>
      <c r="AC668" t="str">
        <f t="shared" si="85"/>
        <v>June</v>
      </c>
      <c r="AD668">
        <f t="shared" si="86"/>
        <v>2024</v>
      </c>
      <c r="AE668" t="str">
        <f t="shared" si="87"/>
        <v>Invalid</v>
      </c>
    </row>
    <row r="669" spans="1:31">
      <c r="A669" t="s">
        <v>2087</v>
      </c>
      <c r="B669" s="3">
        <v>45797</v>
      </c>
      <c r="C669" s="3">
        <v>45804</v>
      </c>
      <c r="D669" t="s">
        <v>2088</v>
      </c>
      <c r="E669" t="s">
        <v>162</v>
      </c>
      <c r="F669" t="s">
        <v>37</v>
      </c>
      <c r="G669" t="s">
        <v>38</v>
      </c>
      <c r="H669" t="s">
        <v>145</v>
      </c>
      <c r="I669" t="s">
        <v>146</v>
      </c>
      <c r="J669" t="s">
        <v>74</v>
      </c>
      <c r="K669" t="s">
        <v>274</v>
      </c>
      <c r="L669" t="s">
        <v>2089</v>
      </c>
      <c r="M669" t="s">
        <v>59</v>
      </c>
      <c r="N669">
        <v>1</v>
      </c>
      <c r="O669">
        <v>3959.14</v>
      </c>
      <c r="P669">
        <v>0</v>
      </c>
      <c r="Q669">
        <v>3959.14</v>
      </c>
      <c r="R669">
        <v>3239.53</v>
      </c>
      <c r="S669">
        <v>719.61</v>
      </c>
      <c r="T669" t="s">
        <v>111</v>
      </c>
      <c r="U669" t="s">
        <v>103</v>
      </c>
      <c r="V669">
        <f>IF(OR(B669="Invalid Date",C669="Invalid Date"),"Invalid Date",C669-B669)</f>
        <v>7</v>
      </c>
      <c r="W669" s="4" t="str">
        <f>IF(OR(B669="Invalid Date",C669="Invalid Date"),"Invalid Date",IF(C669&lt;B669,"Invalid Shipping","OK"))</f>
        <v>OK</v>
      </c>
      <c r="X669">
        <f t="shared" si="80"/>
        <v>1</v>
      </c>
      <c r="Y669">
        <f t="shared" si="81"/>
        <v>0</v>
      </c>
      <c r="Z669">
        <f t="shared" si="82"/>
        <v>3959.14</v>
      </c>
      <c r="AA669">
        <f t="shared" si="83"/>
        <v>719.60999999999967</v>
      </c>
      <c r="AB669" s="6">
        <f t="shared" si="84"/>
        <v>0.18175916992074029</v>
      </c>
      <c r="AC669" t="str">
        <f t="shared" si="85"/>
        <v>May</v>
      </c>
      <c r="AD669">
        <f t="shared" si="86"/>
        <v>2025</v>
      </c>
      <c r="AE669" t="str">
        <f t="shared" si="87"/>
        <v>Clean</v>
      </c>
    </row>
    <row r="670" spans="1:31">
      <c r="A670" t="s">
        <v>2090</v>
      </c>
      <c r="B670" s="3" t="s">
        <v>2763</v>
      </c>
      <c r="C670" s="3">
        <v>45619</v>
      </c>
      <c r="D670" t="s">
        <v>2091</v>
      </c>
      <c r="E670" t="s">
        <v>36</v>
      </c>
      <c r="F670" t="s">
        <v>90</v>
      </c>
      <c r="G670" t="s">
        <v>63</v>
      </c>
      <c r="H670" t="s">
        <v>180</v>
      </c>
      <c r="I670" t="s">
        <v>181</v>
      </c>
      <c r="J670" t="s">
        <v>28</v>
      </c>
      <c r="K670" t="s">
        <v>29</v>
      </c>
      <c r="L670" t="s">
        <v>2092</v>
      </c>
      <c r="M670" t="s">
        <v>31</v>
      </c>
      <c r="N670">
        <v>5</v>
      </c>
      <c r="O670">
        <v>600.46</v>
      </c>
      <c r="P670">
        <v>0.2</v>
      </c>
      <c r="Q670">
        <v>2401.84</v>
      </c>
      <c r="R670">
        <v>1873.11</v>
      </c>
      <c r="S670">
        <v>528.73</v>
      </c>
      <c r="T670" t="s">
        <v>32</v>
      </c>
      <c r="U670" t="s">
        <v>33</v>
      </c>
      <c r="V670" t="str">
        <f>IF(OR(B670="Invalid Date",C670="Invalid Date"),"Invalid Date",C670-B670)</f>
        <v>Invalid Date</v>
      </c>
      <c r="W670" s="4" t="str">
        <f>IF(OR(B670="Invalid Date",C670="Invalid Date"),"Invalid Date",IF(C670&lt;B670,"Invalid Shipping","OK"))</f>
        <v>Invalid Date</v>
      </c>
      <c r="X670">
        <f t="shared" si="80"/>
        <v>1</v>
      </c>
      <c r="Y670">
        <f t="shared" si="81"/>
        <v>0.2</v>
      </c>
      <c r="Z670">
        <f t="shared" si="82"/>
        <v>2401.84</v>
      </c>
      <c r="AA670">
        <f t="shared" si="83"/>
        <v>528.73000000000025</v>
      </c>
      <c r="AB670" s="6">
        <f t="shared" si="84"/>
        <v>0.22013539619624964</v>
      </c>
      <c r="AC670" t="str">
        <f t="shared" si="85"/>
        <v/>
      </c>
      <c r="AD670" t="str">
        <f t="shared" si="86"/>
        <v/>
      </c>
      <c r="AE670" t="str">
        <f t="shared" si="87"/>
        <v>Invalid</v>
      </c>
    </row>
    <row r="671" spans="1:31">
      <c r="A671" t="s">
        <v>2093</v>
      </c>
      <c r="B671" s="3">
        <v>45375</v>
      </c>
      <c r="C671" s="3">
        <v>45383</v>
      </c>
      <c r="D671" t="s">
        <v>2094</v>
      </c>
      <c r="E671" t="s">
        <v>62</v>
      </c>
      <c r="F671" t="s">
        <v>95</v>
      </c>
      <c r="G671" t="s">
        <v>63</v>
      </c>
      <c r="H671" t="s">
        <v>64</v>
      </c>
      <c r="I671" t="s">
        <v>65</v>
      </c>
      <c r="J671" t="s">
        <v>41</v>
      </c>
      <c r="K671" t="s">
        <v>42</v>
      </c>
      <c r="L671" t="s">
        <v>2095</v>
      </c>
      <c r="M671" t="s">
        <v>31</v>
      </c>
      <c r="N671">
        <v>4</v>
      </c>
      <c r="O671">
        <v>1700.72</v>
      </c>
      <c r="P671">
        <v>0.25</v>
      </c>
      <c r="Q671">
        <v>5102.16</v>
      </c>
      <c r="R671">
        <v>3226.45</v>
      </c>
      <c r="S671">
        <v>1875.71</v>
      </c>
      <c r="T671" t="s">
        <v>32</v>
      </c>
      <c r="U671" t="s">
        <v>33</v>
      </c>
      <c r="V671">
        <f>IF(OR(B671="Invalid Date",C671="Invalid Date"),"Invalid Date",C671-B671)</f>
        <v>8</v>
      </c>
      <c r="W671" s="4" t="str">
        <f>IF(OR(B671="Invalid Date",C671="Invalid Date"),"Invalid Date",IF(C671&lt;B671,"Invalid Shipping","OK"))</f>
        <v>OK</v>
      </c>
      <c r="X671">
        <f t="shared" si="80"/>
        <v>1</v>
      </c>
      <c r="Y671">
        <f t="shared" si="81"/>
        <v>0.25</v>
      </c>
      <c r="Z671">
        <f t="shared" si="82"/>
        <v>5102.16</v>
      </c>
      <c r="AA671">
        <f t="shared" si="83"/>
        <v>1875.71</v>
      </c>
      <c r="AB671" s="6">
        <f t="shared" si="84"/>
        <v>0.36763057214983458</v>
      </c>
      <c r="AC671" t="str">
        <f t="shared" si="85"/>
        <v>March</v>
      </c>
      <c r="AD671">
        <f t="shared" si="86"/>
        <v>2024</v>
      </c>
      <c r="AE671" t="str">
        <f t="shared" si="87"/>
        <v>Clean</v>
      </c>
    </row>
    <row r="672" spans="1:31">
      <c r="A672" t="s">
        <v>2096</v>
      </c>
      <c r="B672" s="3">
        <v>45690</v>
      </c>
      <c r="C672" s="3">
        <v>45694</v>
      </c>
      <c r="D672" t="s">
        <v>1598</v>
      </c>
      <c r="E672" t="s">
        <v>132</v>
      </c>
      <c r="F672" t="s">
        <v>90</v>
      </c>
      <c r="G672" t="s">
        <v>25</v>
      </c>
      <c r="H672" t="s">
        <v>136</v>
      </c>
      <c r="I672" t="s">
        <v>137</v>
      </c>
      <c r="J672" t="s">
        <v>41</v>
      </c>
      <c r="K672" t="s">
        <v>42</v>
      </c>
      <c r="L672" t="s">
        <v>2097</v>
      </c>
      <c r="M672" t="s">
        <v>59</v>
      </c>
      <c r="N672">
        <v>8</v>
      </c>
      <c r="O672">
        <v>857.86</v>
      </c>
      <c r="P672">
        <v>0.1</v>
      </c>
      <c r="Q672">
        <v>6176.59</v>
      </c>
      <c r="R672">
        <v>3560.96</v>
      </c>
      <c r="S672">
        <v>2615.63</v>
      </c>
      <c r="T672" t="s">
        <v>32</v>
      </c>
      <c r="U672" t="s">
        <v>33</v>
      </c>
      <c r="V672">
        <f>IF(OR(B672="Invalid Date",C672="Invalid Date"),"Invalid Date",C672-B672)</f>
        <v>4</v>
      </c>
      <c r="W672" s="4" t="str">
        <f>IF(OR(B672="Invalid Date",C672="Invalid Date"),"Invalid Date",IF(C672&lt;B672,"Invalid Shipping","OK"))</f>
        <v>OK</v>
      </c>
      <c r="X672">
        <f t="shared" si="80"/>
        <v>1</v>
      </c>
      <c r="Y672">
        <f t="shared" si="81"/>
        <v>0.1</v>
      </c>
      <c r="Z672">
        <f t="shared" si="82"/>
        <v>6176.5920000000006</v>
      </c>
      <c r="AA672">
        <f t="shared" si="83"/>
        <v>2615.6320000000005</v>
      </c>
      <c r="AB672" s="6">
        <f t="shared" si="84"/>
        <v>0.42347495188285067</v>
      </c>
      <c r="AC672" t="str">
        <f t="shared" si="85"/>
        <v>February</v>
      </c>
      <c r="AD672">
        <f t="shared" si="86"/>
        <v>2025</v>
      </c>
      <c r="AE672" t="str">
        <f t="shared" si="87"/>
        <v>Clean</v>
      </c>
    </row>
    <row r="673" spans="1:31">
      <c r="A673" t="s">
        <v>2098</v>
      </c>
      <c r="B673" s="3">
        <v>45373</v>
      </c>
      <c r="C673" s="3">
        <v>45378</v>
      </c>
      <c r="D673" t="s">
        <v>2099</v>
      </c>
      <c r="E673" t="s">
        <v>89</v>
      </c>
      <c r="F673" t="s">
        <v>95</v>
      </c>
      <c r="G673" t="s">
        <v>63</v>
      </c>
      <c r="H673" t="s">
        <v>190</v>
      </c>
      <c r="I673" t="s">
        <v>191</v>
      </c>
      <c r="J673" t="s">
        <v>74</v>
      </c>
      <c r="K673" t="s">
        <v>80</v>
      </c>
      <c r="L673" t="s">
        <v>2100</v>
      </c>
      <c r="M673" t="s">
        <v>31</v>
      </c>
      <c r="N673">
        <v>9</v>
      </c>
      <c r="O673">
        <v>3649.51</v>
      </c>
      <c r="P673">
        <v>0.05</v>
      </c>
      <c r="Q673">
        <v>31203.31</v>
      </c>
      <c r="R673">
        <v>17738.13</v>
      </c>
      <c r="S673">
        <v>13465.18</v>
      </c>
      <c r="T673" t="s">
        <v>32</v>
      </c>
      <c r="U673" t="s">
        <v>33</v>
      </c>
      <c r="V673">
        <f>IF(OR(B673="Invalid Date",C673="Invalid Date"),"Invalid Date",C673-B673)</f>
        <v>5</v>
      </c>
      <c r="W673" s="4" t="str">
        <f>IF(OR(B673="Invalid Date",C673="Invalid Date"),"Invalid Date",IF(C673&lt;B673,"Invalid Shipping","OK"))</f>
        <v>OK</v>
      </c>
      <c r="X673">
        <f t="shared" si="80"/>
        <v>1</v>
      </c>
      <c r="Y673">
        <f t="shared" si="81"/>
        <v>0.05</v>
      </c>
      <c r="Z673">
        <f t="shared" si="82"/>
        <v>31203.310500000003</v>
      </c>
      <c r="AA673">
        <f t="shared" si="83"/>
        <v>13465.180500000002</v>
      </c>
      <c r="AB673" s="6">
        <f t="shared" si="84"/>
        <v>0.43153051020019179</v>
      </c>
      <c r="AC673" t="str">
        <f t="shared" si="85"/>
        <v>March</v>
      </c>
      <c r="AD673">
        <f t="shared" si="86"/>
        <v>2024</v>
      </c>
      <c r="AE673" t="str">
        <f t="shared" si="87"/>
        <v>Clean</v>
      </c>
    </row>
    <row r="674" spans="1:31">
      <c r="A674" t="s">
        <v>2101</v>
      </c>
      <c r="B674" s="3">
        <v>45539</v>
      </c>
      <c r="C674" s="3">
        <v>45540</v>
      </c>
      <c r="D674" t="s">
        <v>2102</v>
      </c>
      <c r="E674" t="s">
        <v>89</v>
      </c>
      <c r="F674" t="s">
        <v>90</v>
      </c>
      <c r="G674" t="s">
        <v>63</v>
      </c>
      <c r="H674" t="s">
        <v>72</v>
      </c>
      <c r="I674" t="s">
        <v>73</v>
      </c>
      <c r="J674" t="s">
        <v>41</v>
      </c>
      <c r="K674" t="s">
        <v>66</v>
      </c>
      <c r="L674" t="s">
        <v>2103</v>
      </c>
      <c r="M674" t="s">
        <v>59</v>
      </c>
      <c r="N674">
        <v>5</v>
      </c>
      <c r="O674">
        <v>2528.5300000000002</v>
      </c>
      <c r="P674">
        <v>0.05</v>
      </c>
      <c r="Q674">
        <v>12010.52</v>
      </c>
      <c r="R674">
        <v>7864.61</v>
      </c>
      <c r="S674">
        <v>4145.91</v>
      </c>
      <c r="T674" t="s">
        <v>32</v>
      </c>
      <c r="U674" t="s">
        <v>103</v>
      </c>
      <c r="V674">
        <f>IF(OR(B674="Invalid Date",C674="Invalid Date"),"Invalid Date",C674-B674)</f>
        <v>1</v>
      </c>
      <c r="W674" s="4" t="str">
        <f>IF(OR(B674="Invalid Date",C674="Invalid Date"),"Invalid Date",IF(C674&lt;B674,"Invalid Shipping","OK"))</f>
        <v>OK</v>
      </c>
      <c r="X674">
        <f t="shared" si="80"/>
        <v>1</v>
      </c>
      <c r="Y674">
        <f t="shared" si="81"/>
        <v>0.05</v>
      </c>
      <c r="Z674">
        <f t="shared" si="82"/>
        <v>12010.5175</v>
      </c>
      <c r="AA674">
        <f t="shared" si="83"/>
        <v>4145.9075000000003</v>
      </c>
      <c r="AB674" s="6">
        <f t="shared" si="84"/>
        <v>0.34518974723612039</v>
      </c>
      <c r="AC674" t="str">
        <f t="shared" si="85"/>
        <v>September</v>
      </c>
      <c r="AD674">
        <f t="shared" si="86"/>
        <v>2024</v>
      </c>
      <c r="AE674" t="str">
        <f t="shared" si="87"/>
        <v>Clean</v>
      </c>
    </row>
    <row r="675" spans="1:31">
      <c r="A675" t="s">
        <v>2104</v>
      </c>
      <c r="B675" s="3">
        <v>45701</v>
      </c>
      <c r="C675" s="3">
        <v>45704</v>
      </c>
      <c r="D675" t="s">
        <v>2105</v>
      </c>
      <c r="E675" t="s">
        <v>53</v>
      </c>
      <c r="F675" t="s">
        <v>37</v>
      </c>
      <c r="G675" t="s">
        <v>63</v>
      </c>
      <c r="H675" t="s">
        <v>26</v>
      </c>
      <c r="I675" t="s">
        <v>109</v>
      </c>
      <c r="J675" t="s">
        <v>41</v>
      </c>
      <c r="K675" t="s">
        <v>158</v>
      </c>
      <c r="L675" t="s">
        <v>2106</v>
      </c>
      <c r="M675" t="s">
        <v>31</v>
      </c>
      <c r="N675">
        <v>4</v>
      </c>
      <c r="O675">
        <v>4072.9</v>
      </c>
      <c r="P675">
        <v>0.15</v>
      </c>
      <c r="Q675">
        <v>13847.86</v>
      </c>
      <c r="R675">
        <v>8471.7800000000007</v>
      </c>
      <c r="S675">
        <v>5376.08</v>
      </c>
      <c r="T675" t="s">
        <v>32</v>
      </c>
      <c r="U675" t="s">
        <v>33</v>
      </c>
      <c r="V675">
        <f>IF(OR(B675="Invalid Date",C675="Invalid Date"),"Invalid Date",C675-B675)</f>
        <v>3</v>
      </c>
      <c r="W675" s="4" t="str">
        <f>IF(OR(B675="Invalid Date",C675="Invalid Date"),"Invalid Date",IF(C675&lt;B675,"Invalid Shipping","OK"))</f>
        <v>OK</v>
      </c>
      <c r="X675">
        <f t="shared" si="80"/>
        <v>1</v>
      </c>
      <c r="Y675">
        <f t="shared" si="81"/>
        <v>0.15</v>
      </c>
      <c r="Z675">
        <f t="shared" si="82"/>
        <v>13847.86</v>
      </c>
      <c r="AA675">
        <f t="shared" si="83"/>
        <v>5376.08</v>
      </c>
      <c r="AB675" s="6">
        <f t="shared" si="84"/>
        <v>0.38822460654570451</v>
      </c>
      <c r="AC675" t="str">
        <f t="shared" si="85"/>
        <v>February</v>
      </c>
      <c r="AD675">
        <f t="shared" si="86"/>
        <v>2025</v>
      </c>
      <c r="AE675" t="str">
        <f t="shared" si="87"/>
        <v>Clean</v>
      </c>
    </row>
    <row r="676" spans="1:31">
      <c r="A676" t="s">
        <v>2107</v>
      </c>
      <c r="B676" s="3">
        <v>45430</v>
      </c>
      <c r="C676" s="3">
        <v>45433</v>
      </c>
      <c r="D676" t="s">
        <v>2108</v>
      </c>
      <c r="E676" t="s">
        <v>71</v>
      </c>
      <c r="F676" t="s">
        <v>90</v>
      </c>
      <c r="G676" t="s">
        <v>38</v>
      </c>
      <c r="H676" t="s">
        <v>228</v>
      </c>
      <c r="I676" t="s">
        <v>229</v>
      </c>
      <c r="J676" t="s">
        <v>74</v>
      </c>
      <c r="K676" t="s">
        <v>75</v>
      </c>
      <c r="L676" t="s">
        <v>2109</v>
      </c>
      <c r="M676" t="s">
        <v>31</v>
      </c>
      <c r="N676">
        <v>1</v>
      </c>
      <c r="O676">
        <v>1033.71</v>
      </c>
      <c r="P676">
        <v>0</v>
      </c>
      <c r="Q676">
        <v>1033.71</v>
      </c>
      <c r="R676">
        <v>630.82000000000005</v>
      </c>
      <c r="S676">
        <v>402.89</v>
      </c>
      <c r="T676" t="s">
        <v>111</v>
      </c>
      <c r="U676" t="s">
        <v>103</v>
      </c>
      <c r="V676">
        <f>IF(OR(B676="Invalid Date",C676="Invalid Date"),"Invalid Date",C676-B676)</f>
        <v>3</v>
      </c>
      <c r="W676" s="4" t="str">
        <f>IF(OR(B676="Invalid Date",C676="Invalid Date"),"Invalid Date",IF(C676&lt;B676,"Invalid Shipping","OK"))</f>
        <v>OK</v>
      </c>
      <c r="X676">
        <f t="shared" si="80"/>
        <v>1</v>
      </c>
      <c r="Y676">
        <f t="shared" si="81"/>
        <v>0</v>
      </c>
      <c r="Z676">
        <f t="shared" si="82"/>
        <v>1033.71</v>
      </c>
      <c r="AA676">
        <f t="shared" si="83"/>
        <v>402.89</v>
      </c>
      <c r="AB676" s="6">
        <f t="shared" si="84"/>
        <v>0.38975147768716562</v>
      </c>
      <c r="AC676" t="str">
        <f t="shared" si="85"/>
        <v>May</v>
      </c>
      <c r="AD676">
        <f t="shared" si="86"/>
        <v>2024</v>
      </c>
      <c r="AE676" t="str">
        <f t="shared" si="87"/>
        <v>Clean</v>
      </c>
    </row>
    <row r="677" spans="1:31">
      <c r="A677" t="s">
        <v>2110</v>
      </c>
      <c r="B677" s="3">
        <v>45815</v>
      </c>
      <c r="C677" s="3">
        <v>45936</v>
      </c>
      <c r="D677" t="s">
        <v>2011</v>
      </c>
      <c r="E677" t="s">
        <v>128</v>
      </c>
      <c r="F677" t="s">
        <v>24</v>
      </c>
      <c r="G677" t="s">
        <v>25</v>
      </c>
      <c r="H677" t="s">
        <v>26</v>
      </c>
      <c r="I677" t="s">
        <v>27</v>
      </c>
      <c r="J677" t="s">
        <v>41</v>
      </c>
      <c r="K677" t="s">
        <v>57</v>
      </c>
      <c r="L677" t="s">
        <v>2111</v>
      </c>
      <c r="M677" t="s">
        <v>44</v>
      </c>
      <c r="N677">
        <v>3</v>
      </c>
      <c r="O677">
        <v>963.26</v>
      </c>
      <c r="P677">
        <v>0</v>
      </c>
      <c r="Q677">
        <v>2889.78</v>
      </c>
      <c r="R677">
        <v>1811.23</v>
      </c>
      <c r="S677">
        <v>1078.55</v>
      </c>
      <c r="T677" t="s">
        <v>32</v>
      </c>
      <c r="U677" t="s">
        <v>33</v>
      </c>
      <c r="V677">
        <f>IF(OR(B677="Invalid Date",C677="Invalid Date"),"Invalid Date",C677-B677)</f>
        <v>121</v>
      </c>
      <c r="W677" s="4" t="str">
        <f>IF(OR(B677="Invalid Date",C677="Invalid Date"),"Invalid Date",IF(C677&lt;B677,"Invalid Shipping","OK"))</f>
        <v>OK</v>
      </c>
      <c r="X677">
        <f t="shared" si="80"/>
        <v>1</v>
      </c>
      <c r="Y677">
        <f t="shared" si="81"/>
        <v>0</v>
      </c>
      <c r="Z677">
        <f t="shared" si="82"/>
        <v>2889.7799999999997</v>
      </c>
      <c r="AA677">
        <f t="shared" si="83"/>
        <v>1078.5499999999997</v>
      </c>
      <c r="AB677" s="6">
        <f t="shared" si="84"/>
        <v>0.37322910394562903</v>
      </c>
      <c r="AC677" t="str">
        <f t="shared" si="85"/>
        <v>June</v>
      </c>
      <c r="AD677">
        <f t="shared" si="86"/>
        <v>2025</v>
      </c>
      <c r="AE677" t="str">
        <f t="shared" si="87"/>
        <v>Clean</v>
      </c>
    </row>
    <row r="678" spans="1:31">
      <c r="A678" t="s">
        <v>2112</v>
      </c>
      <c r="B678" s="3">
        <v>45970</v>
      </c>
      <c r="C678" s="3" t="s">
        <v>2763</v>
      </c>
      <c r="D678" t="s">
        <v>2113</v>
      </c>
      <c r="E678" t="s">
        <v>118</v>
      </c>
      <c r="F678" t="s">
        <v>37</v>
      </c>
      <c r="G678" t="s">
        <v>25</v>
      </c>
      <c r="H678" t="s">
        <v>350</v>
      </c>
      <c r="I678" t="s">
        <v>351</v>
      </c>
      <c r="J678" t="s">
        <v>74</v>
      </c>
      <c r="K678" t="s">
        <v>171</v>
      </c>
      <c r="L678" t="s">
        <v>2114</v>
      </c>
      <c r="M678" t="s">
        <v>44</v>
      </c>
      <c r="N678">
        <v>7</v>
      </c>
      <c r="O678">
        <v>3411.21</v>
      </c>
      <c r="P678">
        <v>0.15</v>
      </c>
      <c r="Q678">
        <v>20296.7</v>
      </c>
      <c r="R678">
        <v>14920.87</v>
      </c>
      <c r="S678">
        <v>5375.83</v>
      </c>
      <c r="T678" t="s">
        <v>32</v>
      </c>
      <c r="U678" t="s">
        <v>33</v>
      </c>
      <c r="V678" t="str">
        <f>IF(OR(B678="Invalid Date",C678="Invalid Date"),"Invalid Date",C678-B678)</f>
        <v>Invalid Date</v>
      </c>
      <c r="W678" s="4" t="str">
        <f>IF(OR(B678="Invalid Date",C678="Invalid Date"),"Invalid Date",IF(C678&lt;B678,"Invalid Shipping","OK"))</f>
        <v>Invalid Date</v>
      </c>
      <c r="X678">
        <f t="shared" si="80"/>
        <v>1</v>
      </c>
      <c r="Y678">
        <f t="shared" si="81"/>
        <v>0.15</v>
      </c>
      <c r="Z678">
        <f t="shared" si="82"/>
        <v>20296.699499999999</v>
      </c>
      <c r="AA678">
        <f t="shared" si="83"/>
        <v>5375.829499999998</v>
      </c>
      <c r="AB678" s="6">
        <f t="shared" si="84"/>
        <v>0.26486225014071862</v>
      </c>
      <c r="AC678" t="str">
        <f t="shared" si="85"/>
        <v>November</v>
      </c>
      <c r="AD678">
        <f t="shared" si="86"/>
        <v>2025</v>
      </c>
      <c r="AE678" t="str">
        <f t="shared" si="87"/>
        <v>Invalid</v>
      </c>
    </row>
    <row r="679" spans="1:31">
      <c r="A679" t="s">
        <v>2115</v>
      </c>
      <c r="B679" s="3">
        <v>45465</v>
      </c>
      <c r="C679" s="3">
        <v>45470</v>
      </c>
      <c r="D679" t="s">
        <v>22</v>
      </c>
      <c r="E679" t="s">
        <v>47</v>
      </c>
      <c r="F679" t="s">
        <v>95</v>
      </c>
      <c r="G679" t="s">
        <v>54</v>
      </c>
      <c r="H679" t="s">
        <v>175</v>
      </c>
      <c r="I679" t="s">
        <v>176</v>
      </c>
      <c r="J679" t="s">
        <v>41</v>
      </c>
      <c r="K679" t="s">
        <v>66</v>
      </c>
      <c r="L679" t="s">
        <v>2116</v>
      </c>
      <c r="M679" t="s">
        <v>44</v>
      </c>
      <c r="N679">
        <v>7</v>
      </c>
      <c r="O679">
        <v>2623.48</v>
      </c>
      <c r="P679">
        <v>0</v>
      </c>
      <c r="Q679">
        <v>18364.36</v>
      </c>
      <c r="R679">
        <v>15445.81</v>
      </c>
      <c r="S679">
        <v>2918.55</v>
      </c>
      <c r="T679" t="s">
        <v>32</v>
      </c>
      <c r="U679" t="s">
        <v>33</v>
      </c>
      <c r="V679">
        <f>IF(OR(B679="Invalid Date",C679="Invalid Date"),"Invalid Date",C679-B679)</f>
        <v>5</v>
      </c>
      <c r="W679" s="4" t="str">
        <f>IF(OR(B679="Invalid Date",C679="Invalid Date"),"Invalid Date",IF(C679&lt;B679,"Invalid Shipping","OK"))</f>
        <v>OK</v>
      </c>
      <c r="X679">
        <f t="shared" si="80"/>
        <v>1</v>
      </c>
      <c r="Y679">
        <f t="shared" si="81"/>
        <v>0</v>
      </c>
      <c r="Z679">
        <f t="shared" si="82"/>
        <v>18364.36</v>
      </c>
      <c r="AA679">
        <f t="shared" si="83"/>
        <v>2918.5500000000011</v>
      </c>
      <c r="AB679" s="6">
        <f t="shared" si="84"/>
        <v>0.15892467801763857</v>
      </c>
      <c r="AC679" t="str">
        <f t="shared" si="85"/>
        <v>June</v>
      </c>
      <c r="AD679">
        <f t="shared" si="86"/>
        <v>2024</v>
      </c>
      <c r="AE679" t="str">
        <f t="shared" si="87"/>
        <v>Clean</v>
      </c>
    </row>
    <row r="680" spans="1:31">
      <c r="A680" t="s">
        <v>2117</v>
      </c>
      <c r="B680" s="3">
        <v>45620</v>
      </c>
      <c r="C680" s="3">
        <v>45303</v>
      </c>
      <c r="D680" t="s">
        <v>2118</v>
      </c>
      <c r="E680" t="s">
        <v>264</v>
      </c>
      <c r="F680" t="s">
        <v>90</v>
      </c>
      <c r="G680" t="s">
        <v>54</v>
      </c>
      <c r="H680" t="s">
        <v>175</v>
      </c>
      <c r="I680" t="s">
        <v>176</v>
      </c>
      <c r="J680" t="s">
        <v>41</v>
      </c>
      <c r="K680" t="s">
        <v>42</v>
      </c>
      <c r="L680" t="s">
        <v>2119</v>
      </c>
      <c r="M680" t="s">
        <v>31</v>
      </c>
      <c r="N680">
        <v>9</v>
      </c>
      <c r="O680">
        <v>2763.61</v>
      </c>
      <c r="P680">
        <v>0.15</v>
      </c>
      <c r="Q680">
        <v>21141.62</v>
      </c>
      <c r="R680">
        <v>11676.33</v>
      </c>
      <c r="S680">
        <v>9465.2900000000009</v>
      </c>
      <c r="T680" t="s">
        <v>32</v>
      </c>
      <c r="U680" t="s">
        <v>33</v>
      </c>
      <c r="V680">
        <f>IF(OR(B680="Invalid Date",C680="Invalid Date"),"Invalid Date",C680-B680)</f>
        <v>-317</v>
      </c>
      <c r="W680" s="4" t="str">
        <f>IF(OR(B680="Invalid Date",C680="Invalid Date"),"Invalid Date",IF(C680&lt;B680,"Invalid Shipping","OK"))</f>
        <v>Invalid Shipping</v>
      </c>
      <c r="X680">
        <f t="shared" si="80"/>
        <v>1</v>
      </c>
      <c r="Y680">
        <f t="shared" si="81"/>
        <v>0.15</v>
      </c>
      <c r="Z680">
        <f t="shared" si="82"/>
        <v>21141.6165</v>
      </c>
      <c r="AA680">
        <f t="shared" si="83"/>
        <v>9465.2865000000002</v>
      </c>
      <c r="AB680" s="6">
        <f t="shared" si="84"/>
        <v>0.44770874071999178</v>
      </c>
      <c r="AC680" t="str">
        <f t="shared" si="85"/>
        <v>November</v>
      </c>
      <c r="AD680">
        <f t="shared" si="86"/>
        <v>2024</v>
      </c>
      <c r="AE680" t="str">
        <f t="shared" si="87"/>
        <v>Invalid</v>
      </c>
    </row>
    <row r="681" spans="1:31">
      <c r="A681" t="s">
        <v>2120</v>
      </c>
      <c r="B681" s="3">
        <v>45885</v>
      </c>
      <c r="C681" s="3">
        <v>45892</v>
      </c>
      <c r="D681" t="s">
        <v>2121</v>
      </c>
      <c r="E681" t="s">
        <v>141</v>
      </c>
      <c r="F681" t="s">
        <v>90</v>
      </c>
      <c r="G681" t="s">
        <v>25</v>
      </c>
      <c r="H681" t="s">
        <v>122</v>
      </c>
      <c r="I681" t="s">
        <v>123</v>
      </c>
      <c r="J681" t="s">
        <v>74</v>
      </c>
      <c r="K681" t="s">
        <v>80</v>
      </c>
      <c r="L681" t="s">
        <v>2122</v>
      </c>
      <c r="M681" t="s">
        <v>44</v>
      </c>
      <c r="N681">
        <v>4</v>
      </c>
      <c r="O681">
        <v>1410.57</v>
      </c>
      <c r="P681" t="s">
        <v>463</v>
      </c>
      <c r="Q681">
        <v>5360.17</v>
      </c>
      <c r="R681">
        <v>3881.51</v>
      </c>
      <c r="S681">
        <v>1478.66</v>
      </c>
      <c r="T681" t="s">
        <v>102</v>
      </c>
      <c r="U681" t="s">
        <v>68</v>
      </c>
      <c r="V681">
        <f>IF(OR(B681="Invalid Date",C681="Invalid Date"),"Invalid Date",C681-B681)</f>
        <v>7</v>
      </c>
      <c r="W681" s="4" t="str">
        <f>IF(OR(B681="Invalid Date",C681="Invalid Date"),"Invalid Date",IF(C681&lt;B681,"Invalid Shipping","OK"))</f>
        <v>OK</v>
      </c>
      <c r="X681">
        <f t="shared" si="80"/>
        <v>1</v>
      </c>
      <c r="Y681" t="str">
        <f t="shared" si="81"/>
        <v>Invalid</v>
      </c>
      <c r="Z681" t="str">
        <f t="shared" si="82"/>
        <v/>
      </c>
      <c r="AA681" t="str">
        <f t="shared" si="83"/>
        <v/>
      </c>
      <c r="AB681" s="6" t="str">
        <f t="shared" si="84"/>
        <v/>
      </c>
      <c r="AC681" t="str">
        <f t="shared" si="85"/>
        <v>August</v>
      </c>
      <c r="AD681">
        <f t="shared" si="86"/>
        <v>2025</v>
      </c>
      <c r="AE681" t="str">
        <f t="shared" si="87"/>
        <v>Invalid</v>
      </c>
    </row>
    <row r="682" spans="1:31">
      <c r="A682" t="s">
        <v>2123</v>
      </c>
      <c r="B682" s="3">
        <v>45441</v>
      </c>
      <c r="C682" s="3">
        <v>45448</v>
      </c>
      <c r="D682" t="s">
        <v>2124</v>
      </c>
      <c r="E682" t="s">
        <v>264</v>
      </c>
      <c r="F682" t="s">
        <v>90</v>
      </c>
      <c r="G682" t="s">
        <v>54</v>
      </c>
      <c r="H682" t="s">
        <v>247</v>
      </c>
      <c r="I682" t="s">
        <v>248</v>
      </c>
      <c r="J682" t="s">
        <v>74</v>
      </c>
      <c r="K682" t="s">
        <v>75</v>
      </c>
      <c r="L682" t="s">
        <v>2125</v>
      </c>
      <c r="M682" t="s">
        <v>50</v>
      </c>
      <c r="N682">
        <v>4</v>
      </c>
      <c r="O682">
        <v>3700.24</v>
      </c>
      <c r="P682">
        <v>0</v>
      </c>
      <c r="Q682">
        <v>14800.96</v>
      </c>
      <c r="R682">
        <v>12048.39</v>
      </c>
      <c r="S682">
        <v>2752.57</v>
      </c>
      <c r="T682" t="s">
        <v>32</v>
      </c>
      <c r="U682" t="s">
        <v>33</v>
      </c>
      <c r="V682">
        <f>IF(OR(B682="Invalid Date",C682="Invalid Date"),"Invalid Date",C682-B682)</f>
        <v>7</v>
      </c>
      <c r="W682" s="4" t="str">
        <f>IF(OR(B682="Invalid Date",C682="Invalid Date"),"Invalid Date",IF(C682&lt;B682,"Invalid Shipping","OK"))</f>
        <v>OK</v>
      </c>
      <c r="X682">
        <f t="shared" si="80"/>
        <v>1</v>
      </c>
      <c r="Y682">
        <f t="shared" si="81"/>
        <v>0</v>
      </c>
      <c r="Z682">
        <f t="shared" si="82"/>
        <v>14800.96</v>
      </c>
      <c r="AA682">
        <f t="shared" si="83"/>
        <v>2752.5699999999997</v>
      </c>
      <c r="AB682" s="6">
        <f t="shared" si="84"/>
        <v>0.18597239638509933</v>
      </c>
      <c r="AC682" t="str">
        <f t="shared" si="85"/>
        <v>May</v>
      </c>
      <c r="AD682">
        <f t="shared" si="86"/>
        <v>2024</v>
      </c>
      <c r="AE682" t="str">
        <f t="shared" si="87"/>
        <v>Clean</v>
      </c>
    </row>
    <row r="683" spans="1:31">
      <c r="A683" t="s">
        <v>2126</v>
      </c>
      <c r="B683" s="3">
        <v>45389</v>
      </c>
      <c r="C683" s="3">
        <v>45483</v>
      </c>
      <c r="D683" t="s">
        <v>2127</v>
      </c>
      <c r="E683" t="s">
        <v>71</v>
      </c>
      <c r="F683" t="s">
        <v>90</v>
      </c>
      <c r="G683" t="s">
        <v>25</v>
      </c>
      <c r="H683" t="s">
        <v>350</v>
      </c>
      <c r="I683" t="s">
        <v>351</v>
      </c>
      <c r="J683" t="s">
        <v>41</v>
      </c>
      <c r="K683" t="s">
        <v>42</v>
      </c>
      <c r="L683" t="s">
        <v>2128</v>
      </c>
      <c r="M683" t="s">
        <v>31</v>
      </c>
      <c r="N683">
        <v>5</v>
      </c>
      <c r="O683">
        <v>1200.27</v>
      </c>
      <c r="P683">
        <v>0</v>
      </c>
      <c r="Q683">
        <v>6001.35</v>
      </c>
      <c r="R683">
        <v>4182.99</v>
      </c>
      <c r="S683">
        <v>1818.36</v>
      </c>
      <c r="T683" t="s">
        <v>32</v>
      </c>
      <c r="U683" t="s">
        <v>68</v>
      </c>
      <c r="V683">
        <f>IF(OR(B683="Invalid Date",C683="Invalid Date"),"Invalid Date",C683-B683)</f>
        <v>94</v>
      </c>
      <c r="W683" s="4" t="str">
        <f>IF(OR(B683="Invalid Date",C683="Invalid Date"),"Invalid Date",IF(C683&lt;B683,"Invalid Shipping","OK"))</f>
        <v>OK</v>
      </c>
      <c r="X683">
        <f t="shared" si="80"/>
        <v>1</v>
      </c>
      <c r="Y683">
        <f t="shared" si="81"/>
        <v>0</v>
      </c>
      <c r="Z683">
        <f t="shared" si="82"/>
        <v>6001.35</v>
      </c>
      <c r="AA683">
        <f t="shared" si="83"/>
        <v>1818.3600000000006</v>
      </c>
      <c r="AB683" s="6">
        <f t="shared" si="84"/>
        <v>0.30299182683896131</v>
      </c>
      <c r="AC683" t="str">
        <f t="shared" si="85"/>
        <v>April</v>
      </c>
      <c r="AD683">
        <f t="shared" si="86"/>
        <v>2024</v>
      </c>
      <c r="AE683" t="str">
        <f t="shared" si="87"/>
        <v>Clean</v>
      </c>
    </row>
    <row r="684" spans="1:31">
      <c r="A684" t="s">
        <v>2129</v>
      </c>
      <c r="B684" s="3">
        <v>45693</v>
      </c>
      <c r="C684" s="3">
        <v>45693</v>
      </c>
      <c r="D684" t="s">
        <v>2130</v>
      </c>
      <c r="E684" t="s">
        <v>62</v>
      </c>
      <c r="F684" t="s">
        <v>90</v>
      </c>
      <c r="G684" t="s">
        <v>25</v>
      </c>
      <c r="H684" t="s">
        <v>236</v>
      </c>
      <c r="I684" t="s">
        <v>237</v>
      </c>
      <c r="J684" t="s">
        <v>28</v>
      </c>
      <c r="K684" t="s">
        <v>124</v>
      </c>
      <c r="L684" t="s">
        <v>2131</v>
      </c>
      <c r="M684" t="s">
        <v>44</v>
      </c>
      <c r="N684">
        <v>3</v>
      </c>
      <c r="O684">
        <v>2590.7800000000002</v>
      </c>
      <c r="P684">
        <v>0</v>
      </c>
      <c r="Q684">
        <v>7383.72</v>
      </c>
      <c r="R684">
        <v>4113.66</v>
      </c>
      <c r="S684">
        <v>3270.06</v>
      </c>
      <c r="T684" t="s">
        <v>32</v>
      </c>
      <c r="U684" t="s">
        <v>33</v>
      </c>
      <c r="V684">
        <f>IF(OR(B684="Invalid Date",C684="Invalid Date"),"Invalid Date",C684-B684)</f>
        <v>0</v>
      </c>
      <c r="W684" s="4" t="str">
        <f>IF(OR(B684="Invalid Date",C684="Invalid Date"),"Invalid Date",IF(C684&lt;B684,"Invalid Shipping","OK"))</f>
        <v>OK</v>
      </c>
      <c r="X684">
        <f t="shared" si="80"/>
        <v>1</v>
      </c>
      <c r="Y684">
        <f t="shared" si="81"/>
        <v>0</v>
      </c>
      <c r="Z684">
        <f t="shared" si="82"/>
        <v>7772.34</v>
      </c>
      <c r="AA684">
        <f t="shared" si="83"/>
        <v>3658.6800000000003</v>
      </c>
      <c r="AB684" s="6">
        <f t="shared" si="84"/>
        <v>0.47073082237781677</v>
      </c>
      <c r="AC684" t="str">
        <f t="shared" si="85"/>
        <v>February</v>
      </c>
      <c r="AD684">
        <f t="shared" si="86"/>
        <v>2025</v>
      </c>
      <c r="AE684" t="str">
        <f t="shared" si="87"/>
        <v>Clean</v>
      </c>
    </row>
    <row r="685" spans="1:31">
      <c r="A685" t="s">
        <v>2132</v>
      </c>
      <c r="B685" s="3">
        <v>45858</v>
      </c>
      <c r="C685" s="3">
        <v>45862</v>
      </c>
      <c r="D685" t="s">
        <v>2133</v>
      </c>
      <c r="E685" t="s">
        <v>53</v>
      </c>
      <c r="F685" t="s">
        <v>37</v>
      </c>
      <c r="G685" t="s">
        <v>54</v>
      </c>
      <c r="H685" t="s">
        <v>55</v>
      </c>
      <c r="I685" t="s">
        <v>56</v>
      </c>
      <c r="J685" t="s">
        <v>41</v>
      </c>
      <c r="K685" t="s">
        <v>57</v>
      </c>
      <c r="L685" t="s">
        <v>2134</v>
      </c>
      <c r="M685" t="s">
        <v>31</v>
      </c>
      <c r="N685">
        <v>6</v>
      </c>
      <c r="O685">
        <v>1646.45</v>
      </c>
      <c r="P685">
        <v>0.2</v>
      </c>
      <c r="Q685">
        <v>7902.96</v>
      </c>
      <c r="R685">
        <v>5512.03</v>
      </c>
      <c r="S685">
        <v>2390.9299999999998</v>
      </c>
      <c r="T685" t="s">
        <v>102</v>
      </c>
      <c r="U685" t="s">
        <v>68</v>
      </c>
      <c r="V685">
        <f>IF(OR(B685="Invalid Date",C685="Invalid Date"),"Invalid Date",C685-B685)</f>
        <v>4</v>
      </c>
      <c r="W685" s="4" t="str">
        <f>IF(OR(B685="Invalid Date",C685="Invalid Date"),"Invalid Date",IF(C685&lt;B685,"Invalid Shipping","OK"))</f>
        <v>OK</v>
      </c>
      <c r="X685">
        <f t="shared" si="80"/>
        <v>1</v>
      </c>
      <c r="Y685">
        <f t="shared" si="81"/>
        <v>0.2</v>
      </c>
      <c r="Z685">
        <f t="shared" si="82"/>
        <v>7902.9600000000009</v>
      </c>
      <c r="AA685">
        <f t="shared" si="83"/>
        <v>2390.9300000000012</v>
      </c>
      <c r="AB685" s="6">
        <f t="shared" si="84"/>
        <v>0.30253601182341816</v>
      </c>
      <c r="AC685" t="str">
        <f t="shared" si="85"/>
        <v>July</v>
      </c>
      <c r="AD685">
        <f t="shared" si="86"/>
        <v>2025</v>
      </c>
      <c r="AE685" t="str">
        <f t="shared" si="87"/>
        <v>Clean</v>
      </c>
    </row>
    <row r="686" spans="1:31">
      <c r="A686" t="s">
        <v>2135</v>
      </c>
      <c r="B686" s="3">
        <v>45859</v>
      </c>
      <c r="C686" s="3">
        <v>45859</v>
      </c>
      <c r="D686" t="s">
        <v>2136</v>
      </c>
      <c r="E686" t="s">
        <v>47</v>
      </c>
      <c r="F686" t="s">
        <v>95</v>
      </c>
      <c r="G686" t="s">
        <v>54</v>
      </c>
      <c r="H686" t="s">
        <v>247</v>
      </c>
      <c r="I686" t="s">
        <v>248</v>
      </c>
      <c r="J686" t="s">
        <v>41</v>
      </c>
      <c r="K686" t="s">
        <v>158</v>
      </c>
      <c r="L686" t="s">
        <v>2137</v>
      </c>
      <c r="M686" t="s">
        <v>50</v>
      </c>
      <c r="N686">
        <v>7</v>
      </c>
      <c r="O686">
        <v>4396.6499999999996</v>
      </c>
      <c r="P686">
        <v>0.2</v>
      </c>
      <c r="Q686">
        <v>24621.24</v>
      </c>
      <c r="R686">
        <v>17155.48</v>
      </c>
      <c r="S686">
        <v>7465.76</v>
      </c>
      <c r="T686" t="s">
        <v>102</v>
      </c>
      <c r="U686" t="s">
        <v>68</v>
      </c>
      <c r="V686">
        <f>IF(OR(B686="Invalid Date",C686="Invalid Date"),"Invalid Date",C686-B686)</f>
        <v>0</v>
      </c>
      <c r="W686" s="4" t="str">
        <f>IF(OR(B686="Invalid Date",C686="Invalid Date"),"Invalid Date",IF(C686&lt;B686,"Invalid Shipping","OK"))</f>
        <v>OK</v>
      </c>
      <c r="X686">
        <f t="shared" si="80"/>
        <v>1</v>
      </c>
      <c r="Y686">
        <f t="shared" si="81"/>
        <v>0.2</v>
      </c>
      <c r="Z686">
        <f t="shared" si="82"/>
        <v>24621.239999999998</v>
      </c>
      <c r="AA686">
        <f t="shared" si="83"/>
        <v>7465.7599999999984</v>
      </c>
      <c r="AB686" s="6">
        <f t="shared" si="84"/>
        <v>0.3032243705028666</v>
      </c>
      <c r="AC686" t="str">
        <f t="shared" si="85"/>
        <v>July</v>
      </c>
      <c r="AD686">
        <f t="shared" si="86"/>
        <v>2025</v>
      </c>
      <c r="AE686" t="str">
        <f t="shared" si="87"/>
        <v>Clean</v>
      </c>
    </row>
    <row r="687" spans="1:31">
      <c r="A687" t="s">
        <v>2138</v>
      </c>
      <c r="B687" s="3">
        <v>45931</v>
      </c>
      <c r="C687" s="3">
        <v>45933</v>
      </c>
      <c r="D687" t="s">
        <v>1804</v>
      </c>
      <c r="E687" t="s">
        <v>79</v>
      </c>
      <c r="F687" t="s">
        <v>90</v>
      </c>
      <c r="G687" t="s">
        <v>63</v>
      </c>
      <c r="H687" t="s">
        <v>190</v>
      </c>
      <c r="I687" t="s">
        <v>191</v>
      </c>
      <c r="J687" t="s">
        <v>28</v>
      </c>
      <c r="K687" t="s">
        <v>48</v>
      </c>
      <c r="L687" t="s">
        <v>2139</v>
      </c>
      <c r="M687" t="s">
        <v>59</v>
      </c>
      <c r="N687">
        <v>9</v>
      </c>
      <c r="O687">
        <v>818.15</v>
      </c>
      <c r="P687">
        <v>0.55000000000000004</v>
      </c>
      <c r="Q687">
        <v>6627.01</v>
      </c>
      <c r="R687">
        <v>5606.79</v>
      </c>
      <c r="S687">
        <v>1020.22</v>
      </c>
      <c r="T687" t="s">
        <v>155</v>
      </c>
      <c r="U687" t="s">
        <v>68</v>
      </c>
      <c r="V687">
        <f>IF(OR(B687="Invalid Date",C687="Invalid Date"),"Invalid Date",C687-B687)</f>
        <v>2</v>
      </c>
      <c r="W687" s="4" t="str">
        <f>IF(OR(B687="Invalid Date",C687="Invalid Date"),"Invalid Date",IF(C687&lt;B687,"Invalid Shipping","OK"))</f>
        <v>OK</v>
      </c>
      <c r="X687">
        <f t="shared" si="80"/>
        <v>1</v>
      </c>
      <c r="Y687">
        <f t="shared" si="81"/>
        <v>0.55000000000000004</v>
      </c>
      <c r="Z687">
        <f t="shared" si="82"/>
        <v>3313.5074999999993</v>
      </c>
      <c r="AA687">
        <f t="shared" si="83"/>
        <v>-2293.2825000000007</v>
      </c>
      <c r="AB687" s="6">
        <f t="shared" si="84"/>
        <v>-0.69210119488185895</v>
      </c>
      <c r="AC687" t="str">
        <f t="shared" si="85"/>
        <v>October</v>
      </c>
      <c r="AD687">
        <f t="shared" si="86"/>
        <v>2025</v>
      </c>
      <c r="AE687" t="str">
        <f t="shared" si="87"/>
        <v>Clean</v>
      </c>
    </row>
    <row r="688" spans="1:31">
      <c r="A688" t="s">
        <v>2140</v>
      </c>
      <c r="B688" s="3">
        <v>45376</v>
      </c>
      <c r="C688" s="3">
        <v>45326</v>
      </c>
      <c r="D688" t="s">
        <v>2141</v>
      </c>
      <c r="E688" t="s">
        <v>132</v>
      </c>
      <c r="F688" t="s">
        <v>95</v>
      </c>
      <c r="G688" t="s">
        <v>54</v>
      </c>
      <c r="H688" t="s">
        <v>247</v>
      </c>
      <c r="I688" t="s">
        <v>248</v>
      </c>
      <c r="J688" t="s">
        <v>74</v>
      </c>
      <c r="K688" t="s">
        <v>80</v>
      </c>
      <c r="L688" t="s">
        <v>2142</v>
      </c>
      <c r="M688" t="s">
        <v>59</v>
      </c>
      <c r="N688">
        <v>2</v>
      </c>
      <c r="O688">
        <v>2349.13</v>
      </c>
      <c r="P688">
        <v>0</v>
      </c>
      <c r="Q688">
        <v>4698.26</v>
      </c>
      <c r="R688">
        <v>2654.92</v>
      </c>
      <c r="S688">
        <v>2043.34</v>
      </c>
      <c r="T688" t="s">
        <v>32</v>
      </c>
      <c r="U688" t="s">
        <v>33</v>
      </c>
      <c r="V688">
        <f>IF(OR(B688="Invalid Date",C688="Invalid Date"),"Invalid Date",C688-B688)</f>
        <v>-50</v>
      </c>
      <c r="W688" s="4" t="str">
        <f>IF(OR(B688="Invalid Date",C688="Invalid Date"),"Invalid Date",IF(C688&lt;B688,"Invalid Shipping","OK"))</f>
        <v>Invalid Shipping</v>
      </c>
      <c r="X688">
        <f t="shared" si="80"/>
        <v>1</v>
      </c>
      <c r="Y688">
        <f t="shared" si="81"/>
        <v>0</v>
      </c>
      <c r="Z688">
        <f t="shared" si="82"/>
        <v>4698.26</v>
      </c>
      <c r="AA688">
        <f t="shared" si="83"/>
        <v>2043.3400000000001</v>
      </c>
      <c r="AB688" s="6">
        <f t="shared" si="84"/>
        <v>0.43491420227914163</v>
      </c>
      <c r="AC688" t="str">
        <f t="shared" si="85"/>
        <v>March</v>
      </c>
      <c r="AD688">
        <f t="shared" si="86"/>
        <v>2024</v>
      </c>
      <c r="AE688" t="str">
        <f t="shared" si="87"/>
        <v>Invalid</v>
      </c>
    </row>
    <row r="689" spans="1:31">
      <c r="A689" t="s">
        <v>2143</v>
      </c>
      <c r="B689" s="3">
        <v>45938</v>
      </c>
      <c r="C689" s="3">
        <v>45943</v>
      </c>
      <c r="D689" t="s">
        <v>2144</v>
      </c>
      <c r="E689" t="s">
        <v>36</v>
      </c>
      <c r="F689" t="s">
        <v>95</v>
      </c>
      <c r="G689" t="s">
        <v>25</v>
      </c>
      <c r="H689" t="s">
        <v>122</v>
      </c>
      <c r="I689" t="s">
        <v>123</v>
      </c>
      <c r="J689" t="s">
        <v>41</v>
      </c>
      <c r="K689" t="s">
        <v>42</v>
      </c>
      <c r="L689" t="s">
        <v>2145</v>
      </c>
      <c r="M689" t="s">
        <v>50</v>
      </c>
      <c r="N689">
        <v>4</v>
      </c>
      <c r="O689">
        <v>172.05</v>
      </c>
      <c r="P689">
        <v>0</v>
      </c>
      <c r="Q689">
        <v>688.2</v>
      </c>
      <c r="R689">
        <v>497.68</v>
      </c>
      <c r="S689">
        <v>190.52</v>
      </c>
      <c r="T689" t="s">
        <v>155</v>
      </c>
      <c r="U689" t="s">
        <v>68</v>
      </c>
      <c r="V689">
        <f>IF(OR(B689="Invalid Date",C689="Invalid Date"),"Invalid Date",C689-B689)</f>
        <v>5</v>
      </c>
      <c r="W689" s="4" t="str">
        <f>IF(OR(B689="Invalid Date",C689="Invalid Date"),"Invalid Date",IF(C689&lt;B689,"Invalid Shipping","OK"))</f>
        <v>OK</v>
      </c>
      <c r="X689">
        <f t="shared" si="80"/>
        <v>1</v>
      </c>
      <c r="Y689">
        <f t="shared" si="81"/>
        <v>0</v>
      </c>
      <c r="Z689">
        <f t="shared" si="82"/>
        <v>688.2</v>
      </c>
      <c r="AA689">
        <f t="shared" si="83"/>
        <v>190.52000000000004</v>
      </c>
      <c r="AB689" s="6">
        <f t="shared" si="84"/>
        <v>0.27683812845103173</v>
      </c>
      <c r="AC689" t="str">
        <f t="shared" si="85"/>
        <v>October</v>
      </c>
      <c r="AD689">
        <f t="shared" si="86"/>
        <v>2025</v>
      </c>
      <c r="AE689" t="str">
        <f t="shared" si="87"/>
        <v>Clean</v>
      </c>
    </row>
    <row r="690" spans="1:31">
      <c r="A690" t="s">
        <v>2146</v>
      </c>
      <c r="B690" s="3">
        <v>45714</v>
      </c>
      <c r="C690" s="3">
        <v>45715</v>
      </c>
      <c r="D690" t="s">
        <v>2147</v>
      </c>
      <c r="E690" t="s">
        <v>79</v>
      </c>
      <c r="F690" t="s">
        <v>95</v>
      </c>
      <c r="G690" t="s">
        <v>25</v>
      </c>
      <c r="H690" t="s">
        <v>236</v>
      </c>
      <c r="I690" t="s">
        <v>237</v>
      </c>
      <c r="J690" t="s">
        <v>28</v>
      </c>
      <c r="K690" t="s">
        <v>48</v>
      </c>
      <c r="L690" t="s">
        <v>2148</v>
      </c>
      <c r="M690" t="s">
        <v>31</v>
      </c>
      <c r="N690">
        <v>6</v>
      </c>
      <c r="O690">
        <v>3037.66</v>
      </c>
      <c r="P690">
        <v>0.15</v>
      </c>
      <c r="Q690">
        <v>15492.07</v>
      </c>
      <c r="R690">
        <v>12581.23</v>
      </c>
      <c r="S690">
        <v>2910.84</v>
      </c>
      <c r="T690" t="s">
        <v>32</v>
      </c>
      <c r="U690" t="s">
        <v>33</v>
      </c>
      <c r="V690">
        <f>IF(OR(B690="Invalid Date",C690="Invalid Date"),"Invalid Date",C690-B690)</f>
        <v>1</v>
      </c>
      <c r="W690" s="4" t="str">
        <f>IF(OR(B690="Invalid Date",C690="Invalid Date"),"Invalid Date",IF(C690&lt;B690,"Invalid Shipping","OK"))</f>
        <v>OK</v>
      </c>
      <c r="X690">
        <f t="shared" si="80"/>
        <v>1</v>
      </c>
      <c r="Y690">
        <f t="shared" si="81"/>
        <v>0.15</v>
      </c>
      <c r="Z690">
        <f t="shared" si="82"/>
        <v>15492.065999999999</v>
      </c>
      <c r="AA690">
        <f t="shared" si="83"/>
        <v>2910.8359999999993</v>
      </c>
      <c r="AB690" s="6">
        <f t="shared" si="84"/>
        <v>0.18789204745190213</v>
      </c>
      <c r="AC690" t="str">
        <f t="shared" si="85"/>
        <v>February</v>
      </c>
      <c r="AD690">
        <f t="shared" si="86"/>
        <v>2025</v>
      </c>
      <c r="AE690" t="str">
        <f t="shared" si="87"/>
        <v>Clean</v>
      </c>
    </row>
    <row r="691" spans="1:31">
      <c r="A691" t="s">
        <v>2149</v>
      </c>
      <c r="B691" s="3">
        <v>45570</v>
      </c>
      <c r="C691" s="3">
        <v>45571</v>
      </c>
      <c r="D691" t="s">
        <v>2150</v>
      </c>
      <c r="E691" t="s">
        <v>141</v>
      </c>
      <c r="F691" t="s">
        <v>37</v>
      </c>
      <c r="G691" t="s">
        <v>25</v>
      </c>
      <c r="H691" t="s">
        <v>122</v>
      </c>
      <c r="I691" t="s">
        <v>123</v>
      </c>
      <c r="J691" t="s">
        <v>41</v>
      </c>
      <c r="K691" t="s">
        <v>42</v>
      </c>
      <c r="L691" t="s">
        <v>2151</v>
      </c>
      <c r="M691" t="s">
        <v>59</v>
      </c>
      <c r="N691">
        <v>9</v>
      </c>
      <c r="O691">
        <v>489.58</v>
      </c>
      <c r="P691">
        <v>0.15</v>
      </c>
      <c r="Q691">
        <v>3745.29</v>
      </c>
      <c r="R691">
        <v>2302.65</v>
      </c>
      <c r="S691">
        <v>1442.64</v>
      </c>
      <c r="T691" t="s">
        <v>155</v>
      </c>
      <c r="U691" t="s">
        <v>68</v>
      </c>
      <c r="V691">
        <f>IF(OR(B691="Invalid Date",C691="Invalid Date"),"Invalid Date",C691-B691)</f>
        <v>1</v>
      </c>
      <c r="W691" s="4" t="str">
        <f>IF(OR(B691="Invalid Date",C691="Invalid Date"),"Invalid Date",IF(C691&lt;B691,"Invalid Shipping","OK"))</f>
        <v>OK</v>
      </c>
      <c r="X691">
        <f t="shared" si="80"/>
        <v>1</v>
      </c>
      <c r="Y691">
        <f t="shared" si="81"/>
        <v>0.15</v>
      </c>
      <c r="Z691">
        <f t="shared" si="82"/>
        <v>3745.2870000000003</v>
      </c>
      <c r="AA691">
        <f t="shared" si="83"/>
        <v>1442.6370000000002</v>
      </c>
      <c r="AB691" s="6">
        <f t="shared" si="84"/>
        <v>0.38518730340291679</v>
      </c>
      <c r="AC691" t="str">
        <f t="shared" si="85"/>
        <v>October</v>
      </c>
      <c r="AD691">
        <f t="shared" si="86"/>
        <v>2024</v>
      </c>
      <c r="AE691" t="str">
        <f t="shared" si="87"/>
        <v>Clean</v>
      </c>
    </row>
    <row r="692" spans="1:31">
      <c r="A692" t="s">
        <v>2152</v>
      </c>
      <c r="B692" s="3">
        <v>45605</v>
      </c>
      <c r="C692" s="3">
        <v>45550</v>
      </c>
      <c r="D692" t="s">
        <v>2153</v>
      </c>
      <c r="E692" t="s">
        <v>132</v>
      </c>
      <c r="F692" t="s">
        <v>90</v>
      </c>
      <c r="G692" t="s">
        <v>54</v>
      </c>
      <c r="H692" t="s">
        <v>247</v>
      </c>
      <c r="I692" t="s">
        <v>248</v>
      </c>
      <c r="J692" t="s">
        <v>28</v>
      </c>
      <c r="K692" t="s">
        <v>48</v>
      </c>
      <c r="L692" t="s">
        <v>2154</v>
      </c>
      <c r="M692" t="s">
        <v>59</v>
      </c>
      <c r="N692">
        <v>4</v>
      </c>
      <c r="O692">
        <v>865.63</v>
      </c>
      <c r="P692">
        <v>0</v>
      </c>
      <c r="Q692">
        <v>3462.52</v>
      </c>
      <c r="R692">
        <v>2797.29</v>
      </c>
      <c r="S692">
        <v>665.23</v>
      </c>
      <c r="T692" t="s">
        <v>155</v>
      </c>
      <c r="U692" t="s">
        <v>103</v>
      </c>
      <c r="V692">
        <f>IF(OR(B692="Invalid Date",C692="Invalid Date"),"Invalid Date",C692-B692)</f>
        <v>-55</v>
      </c>
      <c r="W692" s="4" t="str">
        <f>IF(OR(B692="Invalid Date",C692="Invalid Date"),"Invalid Date",IF(C692&lt;B692,"Invalid Shipping","OK"))</f>
        <v>Invalid Shipping</v>
      </c>
      <c r="X692">
        <f t="shared" si="80"/>
        <v>1</v>
      </c>
      <c r="Y692">
        <f t="shared" si="81"/>
        <v>0</v>
      </c>
      <c r="Z692">
        <f t="shared" si="82"/>
        <v>3462.52</v>
      </c>
      <c r="AA692">
        <f t="shared" si="83"/>
        <v>665.23</v>
      </c>
      <c r="AB692" s="6">
        <f t="shared" si="84"/>
        <v>0.19212307798944123</v>
      </c>
      <c r="AC692" t="str">
        <f t="shared" si="85"/>
        <v>November</v>
      </c>
      <c r="AD692">
        <f t="shared" si="86"/>
        <v>2024</v>
      </c>
      <c r="AE692" t="str">
        <f t="shared" si="87"/>
        <v>Invalid</v>
      </c>
    </row>
    <row r="693" spans="1:31">
      <c r="A693" t="s">
        <v>2155</v>
      </c>
      <c r="B693" s="3">
        <v>45641</v>
      </c>
      <c r="C693" s="3">
        <v>45642</v>
      </c>
      <c r="D693" t="s">
        <v>2156</v>
      </c>
      <c r="E693" t="s">
        <v>141</v>
      </c>
      <c r="F693" t="s">
        <v>24</v>
      </c>
      <c r="G693" t="s">
        <v>38</v>
      </c>
      <c r="H693" t="s">
        <v>39</v>
      </c>
      <c r="I693" t="s">
        <v>40</v>
      </c>
      <c r="J693" t="s">
        <v>74</v>
      </c>
      <c r="K693" t="s">
        <v>80</v>
      </c>
      <c r="L693" t="s">
        <v>2157</v>
      </c>
      <c r="M693" t="s">
        <v>31</v>
      </c>
      <c r="N693">
        <v>6</v>
      </c>
      <c r="O693">
        <v>1538.1</v>
      </c>
      <c r="P693">
        <v>0.05</v>
      </c>
      <c r="Q693">
        <v>8767.17</v>
      </c>
      <c r="R693">
        <v>5098.2</v>
      </c>
      <c r="S693">
        <v>3668.97</v>
      </c>
      <c r="T693" t="s">
        <v>32</v>
      </c>
      <c r="U693" t="s">
        <v>33</v>
      </c>
      <c r="V693">
        <f>IF(OR(B693="Invalid Date",C693="Invalid Date"),"Invalid Date",C693-B693)</f>
        <v>1</v>
      </c>
      <c r="W693" s="4" t="str">
        <f>IF(OR(B693="Invalid Date",C693="Invalid Date"),"Invalid Date",IF(C693&lt;B693,"Invalid Shipping","OK"))</f>
        <v>OK</v>
      </c>
      <c r="X693">
        <f t="shared" si="80"/>
        <v>1</v>
      </c>
      <c r="Y693">
        <f t="shared" si="81"/>
        <v>0.05</v>
      </c>
      <c r="Z693">
        <f t="shared" si="82"/>
        <v>8767.1699999999983</v>
      </c>
      <c r="AA693">
        <f t="shared" si="83"/>
        <v>3668.9699999999984</v>
      </c>
      <c r="AB693" s="6">
        <f t="shared" si="84"/>
        <v>0.41848966085977563</v>
      </c>
      <c r="AC693" t="str">
        <f t="shared" si="85"/>
        <v>December</v>
      </c>
      <c r="AD693">
        <f t="shared" si="86"/>
        <v>2024</v>
      </c>
      <c r="AE693" t="str">
        <f t="shared" si="87"/>
        <v>Clean</v>
      </c>
    </row>
    <row r="694" spans="1:31">
      <c r="A694" t="s">
        <v>2158</v>
      </c>
      <c r="B694" s="3">
        <v>45935</v>
      </c>
      <c r="C694" s="3">
        <v>45940</v>
      </c>
      <c r="D694" t="s">
        <v>2159</v>
      </c>
      <c r="E694" t="s">
        <v>47</v>
      </c>
      <c r="F694" t="s">
        <v>90</v>
      </c>
      <c r="G694" t="s">
        <v>54</v>
      </c>
      <c r="H694" t="s">
        <v>175</v>
      </c>
      <c r="I694" t="s">
        <v>176</v>
      </c>
      <c r="J694" t="s">
        <v>41</v>
      </c>
      <c r="K694" t="s">
        <v>57</v>
      </c>
      <c r="L694" t="s">
        <v>2160</v>
      </c>
      <c r="M694" t="s">
        <v>31</v>
      </c>
      <c r="N694">
        <v>4</v>
      </c>
      <c r="O694">
        <v>2365.6799999999998</v>
      </c>
      <c r="P694">
        <v>0.1</v>
      </c>
      <c r="Q694">
        <v>8516.4500000000007</v>
      </c>
      <c r="R694">
        <v>5903.81</v>
      </c>
      <c r="S694">
        <v>2612.64</v>
      </c>
      <c r="T694" t="s">
        <v>32</v>
      </c>
      <c r="U694" t="s">
        <v>33</v>
      </c>
      <c r="V694">
        <f>IF(OR(B694="Invalid Date",C694="Invalid Date"),"Invalid Date",C694-B694)</f>
        <v>5</v>
      </c>
      <c r="W694" s="4" t="str">
        <f>IF(OR(B694="Invalid Date",C694="Invalid Date"),"Invalid Date",IF(C694&lt;B694,"Invalid Shipping","OK"))</f>
        <v>OK</v>
      </c>
      <c r="X694">
        <f t="shared" si="80"/>
        <v>1</v>
      </c>
      <c r="Y694">
        <f t="shared" si="81"/>
        <v>0.1</v>
      </c>
      <c r="Z694">
        <f t="shared" si="82"/>
        <v>8516.4480000000003</v>
      </c>
      <c r="AA694">
        <f t="shared" si="83"/>
        <v>2612.6379999999999</v>
      </c>
      <c r="AB694" s="6">
        <f t="shared" si="84"/>
        <v>0.30677554774009069</v>
      </c>
      <c r="AC694" t="str">
        <f t="shared" si="85"/>
        <v>October</v>
      </c>
      <c r="AD694">
        <f t="shared" si="86"/>
        <v>2025</v>
      </c>
      <c r="AE694" t="str">
        <f t="shared" si="87"/>
        <v>Clean</v>
      </c>
    </row>
    <row r="695" spans="1:31">
      <c r="A695" t="s">
        <v>2161</v>
      </c>
      <c r="B695" s="3">
        <v>45750</v>
      </c>
      <c r="C695" s="3">
        <v>45758</v>
      </c>
      <c r="D695" t="s">
        <v>2162</v>
      </c>
      <c r="E695" t="s">
        <v>53</v>
      </c>
      <c r="F695" t="s">
        <v>24</v>
      </c>
      <c r="G695" t="s">
        <v>54</v>
      </c>
      <c r="H695" t="s">
        <v>247</v>
      </c>
      <c r="I695" t="s">
        <v>248</v>
      </c>
      <c r="J695" t="s">
        <v>41</v>
      </c>
      <c r="K695" t="s">
        <v>158</v>
      </c>
      <c r="L695" t="s">
        <v>2163</v>
      </c>
      <c r="M695" t="s">
        <v>31</v>
      </c>
      <c r="N695">
        <v>3</v>
      </c>
      <c r="O695">
        <v>4149.7700000000004</v>
      </c>
      <c r="P695">
        <v>0.05</v>
      </c>
      <c r="Q695">
        <v>11826.84</v>
      </c>
      <c r="R695">
        <v>8035.96</v>
      </c>
      <c r="S695">
        <v>3790.88</v>
      </c>
      <c r="T695" t="s">
        <v>32</v>
      </c>
      <c r="U695" t="s">
        <v>33</v>
      </c>
      <c r="V695">
        <f>IF(OR(B695="Invalid Date",C695="Invalid Date"),"Invalid Date",C695-B695)</f>
        <v>8</v>
      </c>
      <c r="W695" s="4" t="str">
        <f>IF(OR(B695="Invalid Date",C695="Invalid Date"),"Invalid Date",IF(C695&lt;B695,"Invalid Shipping","OK"))</f>
        <v>OK</v>
      </c>
      <c r="X695">
        <f t="shared" si="80"/>
        <v>1</v>
      </c>
      <c r="Y695">
        <f t="shared" si="81"/>
        <v>0.05</v>
      </c>
      <c r="Z695">
        <f t="shared" si="82"/>
        <v>11826.844500000001</v>
      </c>
      <c r="AA695">
        <f t="shared" si="83"/>
        <v>3790.884500000001</v>
      </c>
      <c r="AB695" s="6">
        <f t="shared" si="84"/>
        <v>0.32053220112938835</v>
      </c>
      <c r="AC695" t="str">
        <f t="shared" si="85"/>
        <v>April</v>
      </c>
      <c r="AD695">
        <f t="shared" si="86"/>
        <v>2025</v>
      </c>
      <c r="AE695" t="str">
        <f t="shared" si="87"/>
        <v>Clean</v>
      </c>
    </row>
    <row r="696" spans="1:31">
      <c r="A696" t="s">
        <v>2164</v>
      </c>
      <c r="B696" s="3">
        <v>45870</v>
      </c>
      <c r="C696" s="3">
        <v>45878</v>
      </c>
      <c r="D696" t="s">
        <v>1137</v>
      </c>
      <c r="E696" t="s">
        <v>47</v>
      </c>
      <c r="F696" t="s">
        <v>24</v>
      </c>
      <c r="G696" t="s">
        <v>54</v>
      </c>
      <c r="H696" t="s">
        <v>84</v>
      </c>
      <c r="I696" t="s">
        <v>85</v>
      </c>
      <c r="J696" t="s">
        <v>28</v>
      </c>
      <c r="K696" t="s">
        <v>124</v>
      </c>
      <c r="L696" t="s">
        <v>2165</v>
      </c>
      <c r="M696" t="s">
        <v>50</v>
      </c>
      <c r="N696">
        <v>5</v>
      </c>
      <c r="O696">
        <v>2736.24</v>
      </c>
      <c r="P696">
        <v>0.15</v>
      </c>
      <c r="Q696">
        <v>11629.02</v>
      </c>
      <c r="R696">
        <v>9627.2099999999991</v>
      </c>
      <c r="S696">
        <v>2001.81</v>
      </c>
      <c r="T696" t="s">
        <v>32</v>
      </c>
      <c r="U696" t="s">
        <v>33</v>
      </c>
      <c r="V696">
        <f>IF(OR(B696="Invalid Date",C696="Invalid Date"),"Invalid Date",C696-B696)</f>
        <v>8</v>
      </c>
      <c r="W696" s="4" t="str">
        <f>IF(OR(B696="Invalid Date",C696="Invalid Date"),"Invalid Date",IF(C696&lt;B696,"Invalid Shipping","OK"))</f>
        <v>OK</v>
      </c>
      <c r="X696">
        <f t="shared" si="80"/>
        <v>1</v>
      </c>
      <c r="Y696">
        <f t="shared" si="81"/>
        <v>0.15</v>
      </c>
      <c r="Z696">
        <f t="shared" si="82"/>
        <v>11629.019999999999</v>
      </c>
      <c r="AA696">
        <f t="shared" si="83"/>
        <v>2001.8099999999995</v>
      </c>
      <c r="AB696" s="6">
        <f t="shared" si="84"/>
        <v>0.17213918283741877</v>
      </c>
      <c r="AC696" t="str">
        <f t="shared" si="85"/>
        <v>August</v>
      </c>
      <c r="AD696">
        <f t="shared" si="86"/>
        <v>2025</v>
      </c>
      <c r="AE696" t="str">
        <f t="shared" si="87"/>
        <v>Clean</v>
      </c>
    </row>
    <row r="697" spans="1:31">
      <c r="A697" t="s">
        <v>2166</v>
      </c>
      <c r="B697" s="3">
        <v>45474</v>
      </c>
      <c r="C697" s="3">
        <v>45474</v>
      </c>
      <c r="D697" t="s">
        <v>2167</v>
      </c>
      <c r="E697" t="s">
        <v>128</v>
      </c>
      <c r="F697" t="s">
        <v>24</v>
      </c>
      <c r="G697" t="s">
        <v>63</v>
      </c>
      <c r="H697" t="s">
        <v>72</v>
      </c>
      <c r="I697" t="s">
        <v>73</v>
      </c>
      <c r="J697" t="s">
        <v>74</v>
      </c>
      <c r="K697" t="s">
        <v>274</v>
      </c>
      <c r="L697" t="s">
        <v>2168</v>
      </c>
      <c r="M697" t="s">
        <v>59</v>
      </c>
      <c r="N697">
        <v>4</v>
      </c>
      <c r="O697">
        <v>257.39</v>
      </c>
      <c r="P697">
        <v>0</v>
      </c>
      <c r="Q697">
        <v>1029.56</v>
      </c>
      <c r="R697">
        <v>626.33000000000004</v>
      </c>
      <c r="S697">
        <v>403.23</v>
      </c>
      <c r="T697" t="s">
        <v>32</v>
      </c>
      <c r="U697" t="s">
        <v>33</v>
      </c>
      <c r="V697">
        <f>IF(OR(B697="Invalid Date",C697="Invalid Date"),"Invalid Date",C697-B697)</f>
        <v>0</v>
      </c>
      <c r="W697" s="4" t="str">
        <f>IF(OR(B697="Invalid Date",C697="Invalid Date"),"Invalid Date",IF(C697&lt;B697,"Invalid Shipping","OK"))</f>
        <v>OK</v>
      </c>
      <c r="X697">
        <f t="shared" si="80"/>
        <v>1</v>
      </c>
      <c r="Y697">
        <f t="shared" si="81"/>
        <v>0</v>
      </c>
      <c r="Z697">
        <f t="shared" si="82"/>
        <v>1029.56</v>
      </c>
      <c r="AA697">
        <f t="shared" si="83"/>
        <v>403.2299999999999</v>
      </c>
      <c r="AB697" s="6">
        <f t="shared" si="84"/>
        <v>0.39165274486188267</v>
      </c>
      <c r="AC697" t="str">
        <f t="shared" si="85"/>
        <v>July</v>
      </c>
      <c r="AD697">
        <f t="shared" si="86"/>
        <v>2024</v>
      </c>
      <c r="AE697" t="str">
        <f t="shared" si="87"/>
        <v>Clean</v>
      </c>
    </row>
    <row r="698" spans="1:31">
      <c r="A698" t="s">
        <v>2169</v>
      </c>
      <c r="B698" s="3">
        <v>45922</v>
      </c>
      <c r="C698" s="3">
        <v>45925</v>
      </c>
      <c r="D698" t="s">
        <v>2170</v>
      </c>
      <c r="E698" t="s">
        <v>47</v>
      </c>
      <c r="F698" t="s">
        <v>37</v>
      </c>
      <c r="G698" t="s">
        <v>54</v>
      </c>
      <c r="H698" t="s">
        <v>185</v>
      </c>
      <c r="I698" t="s">
        <v>186</v>
      </c>
      <c r="J698" t="s">
        <v>74</v>
      </c>
      <c r="K698" t="s">
        <v>171</v>
      </c>
      <c r="L698" t="s">
        <v>2171</v>
      </c>
      <c r="M698" t="s">
        <v>2767</v>
      </c>
      <c r="N698">
        <v>4</v>
      </c>
      <c r="O698">
        <v>1178.8399999999999</v>
      </c>
      <c r="P698">
        <v>0.25</v>
      </c>
      <c r="Q698">
        <v>3536.52</v>
      </c>
      <c r="R698">
        <v>2102.41</v>
      </c>
      <c r="S698">
        <v>1363.28</v>
      </c>
      <c r="T698" t="s">
        <v>32</v>
      </c>
      <c r="U698" t="s">
        <v>33</v>
      </c>
      <c r="V698">
        <f>IF(OR(B698="Invalid Date",C698="Invalid Date"),"Invalid Date",C698-B698)</f>
        <v>3</v>
      </c>
      <c r="W698" s="4" t="str">
        <f>IF(OR(B698="Invalid Date",C698="Invalid Date"),"Invalid Date",IF(C698&lt;B698,"Invalid Shipping","OK"))</f>
        <v>OK</v>
      </c>
      <c r="X698">
        <f t="shared" si="80"/>
        <v>1</v>
      </c>
      <c r="Y698">
        <f t="shared" si="81"/>
        <v>0.25</v>
      </c>
      <c r="Z698">
        <f t="shared" si="82"/>
        <v>3536.5199999999995</v>
      </c>
      <c r="AA698">
        <f t="shared" si="83"/>
        <v>1434.1099999999997</v>
      </c>
      <c r="AB698" s="6">
        <f t="shared" si="84"/>
        <v>0.40551446054313278</v>
      </c>
      <c r="AC698" t="str">
        <f t="shared" si="85"/>
        <v>September</v>
      </c>
      <c r="AD698">
        <f t="shared" si="86"/>
        <v>2025</v>
      </c>
      <c r="AE698" t="str">
        <f t="shared" si="87"/>
        <v>Warning</v>
      </c>
    </row>
    <row r="699" spans="1:31">
      <c r="A699" t="s">
        <v>2172</v>
      </c>
      <c r="B699" s="3">
        <v>45660</v>
      </c>
      <c r="C699" s="3">
        <v>45723</v>
      </c>
      <c r="D699" t="s">
        <v>2173</v>
      </c>
      <c r="E699" t="s">
        <v>53</v>
      </c>
      <c r="F699" t="s">
        <v>90</v>
      </c>
      <c r="G699" t="s">
        <v>54</v>
      </c>
      <c r="H699" t="s">
        <v>84</v>
      </c>
      <c r="I699" t="s">
        <v>85</v>
      </c>
      <c r="J699" t="s">
        <v>28</v>
      </c>
      <c r="K699" t="s">
        <v>91</v>
      </c>
      <c r="L699" t="s">
        <v>2174</v>
      </c>
      <c r="M699" t="s">
        <v>50</v>
      </c>
      <c r="N699">
        <v>7</v>
      </c>
      <c r="O699">
        <v>567.15</v>
      </c>
      <c r="P699">
        <v>0</v>
      </c>
      <c r="Q699">
        <v>2977.54</v>
      </c>
      <c r="R699">
        <v>1849.3</v>
      </c>
      <c r="S699">
        <v>1128.24</v>
      </c>
      <c r="T699" t="s">
        <v>102</v>
      </c>
      <c r="U699" t="s">
        <v>103</v>
      </c>
      <c r="V699">
        <f>IF(OR(B699="Invalid Date",C699="Invalid Date"),"Invalid Date",C699-B699)</f>
        <v>63</v>
      </c>
      <c r="W699" s="4" t="str">
        <f>IF(OR(B699="Invalid Date",C699="Invalid Date"),"Invalid Date",IF(C699&lt;B699,"Invalid Shipping","OK"))</f>
        <v>OK</v>
      </c>
      <c r="X699">
        <f t="shared" si="80"/>
        <v>1</v>
      </c>
      <c r="Y699">
        <f t="shared" si="81"/>
        <v>0</v>
      </c>
      <c r="Z699">
        <f t="shared" si="82"/>
        <v>3970.0499999999997</v>
      </c>
      <c r="AA699">
        <f t="shared" si="83"/>
        <v>2120.75</v>
      </c>
      <c r="AB699" s="6">
        <f t="shared" si="84"/>
        <v>0.53418722686112274</v>
      </c>
      <c r="AC699" t="str">
        <f t="shared" si="85"/>
        <v>January</v>
      </c>
      <c r="AD699">
        <f t="shared" si="86"/>
        <v>2025</v>
      </c>
      <c r="AE699" t="str">
        <f t="shared" si="87"/>
        <v>Clean</v>
      </c>
    </row>
    <row r="700" spans="1:31">
      <c r="A700" t="s">
        <v>2175</v>
      </c>
      <c r="B700" s="3">
        <v>45549</v>
      </c>
      <c r="C700" s="3">
        <v>45549</v>
      </c>
      <c r="D700" t="s">
        <v>2176</v>
      </c>
      <c r="E700" t="s">
        <v>36</v>
      </c>
      <c r="F700" t="s">
        <v>90</v>
      </c>
      <c r="G700" t="s">
        <v>25</v>
      </c>
      <c r="H700" t="s">
        <v>26</v>
      </c>
      <c r="I700" t="s">
        <v>27</v>
      </c>
      <c r="J700" t="s">
        <v>74</v>
      </c>
      <c r="K700" t="s">
        <v>274</v>
      </c>
      <c r="L700" t="s">
        <v>2177</v>
      </c>
      <c r="M700" t="s">
        <v>59</v>
      </c>
      <c r="N700">
        <v>8</v>
      </c>
      <c r="O700">
        <v>4081.66</v>
      </c>
      <c r="P700">
        <v>0.15</v>
      </c>
      <c r="Q700">
        <v>28208.1</v>
      </c>
      <c r="R700">
        <v>23751.91</v>
      </c>
      <c r="S700">
        <v>4003.38</v>
      </c>
      <c r="T700" t="s">
        <v>32</v>
      </c>
      <c r="U700" t="s">
        <v>103</v>
      </c>
      <c r="V700">
        <f>IF(OR(B700="Invalid Date",C700="Invalid Date"),"Invalid Date",C700-B700)</f>
        <v>0</v>
      </c>
      <c r="W700" s="4" t="str">
        <f>IF(OR(B700="Invalid Date",C700="Invalid Date"),"Invalid Date",IF(C700&lt;B700,"Invalid Shipping","OK"))</f>
        <v>OK</v>
      </c>
      <c r="X700">
        <f t="shared" si="80"/>
        <v>1</v>
      </c>
      <c r="Y700">
        <f t="shared" si="81"/>
        <v>0.15</v>
      </c>
      <c r="Z700">
        <f t="shared" si="82"/>
        <v>27755.287999999997</v>
      </c>
      <c r="AA700">
        <f t="shared" si="83"/>
        <v>4003.377999999997</v>
      </c>
      <c r="AB700" s="6">
        <f t="shared" si="84"/>
        <v>0.14423838801456493</v>
      </c>
      <c r="AC700" t="str">
        <f t="shared" si="85"/>
        <v>September</v>
      </c>
      <c r="AD700">
        <f t="shared" si="86"/>
        <v>2024</v>
      </c>
      <c r="AE700" t="str">
        <f t="shared" si="87"/>
        <v>Clean</v>
      </c>
    </row>
    <row r="701" spans="1:31">
      <c r="A701" t="s">
        <v>2178</v>
      </c>
      <c r="B701" s="3">
        <v>45454</v>
      </c>
      <c r="C701" s="3">
        <v>45454</v>
      </c>
      <c r="D701" t="s">
        <v>2179</v>
      </c>
      <c r="E701" t="s">
        <v>53</v>
      </c>
      <c r="F701" t="s">
        <v>37</v>
      </c>
      <c r="G701" t="s">
        <v>54</v>
      </c>
      <c r="H701" t="s">
        <v>175</v>
      </c>
      <c r="I701" t="s">
        <v>176</v>
      </c>
      <c r="J701" t="s">
        <v>41</v>
      </c>
      <c r="K701" t="s">
        <v>158</v>
      </c>
      <c r="L701" t="s">
        <v>2180</v>
      </c>
      <c r="M701" t="s">
        <v>59</v>
      </c>
      <c r="N701">
        <v>9</v>
      </c>
      <c r="O701">
        <v>1400.11</v>
      </c>
      <c r="P701">
        <v>0.25</v>
      </c>
      <c r="Q701">
        <v>9450.74</v>
      </c>
      <c r="R701">
        <v>7798.56</v>
      </c>
      <c r="S701">
        <v>1652.18</v>
      </c>
      <c r="T701" t="s">
        <v>32</v>
      </c>
      <c r="U701" t="s">
        <v>33</v>
      </c>
      <c r="V701">
        <f>IF(OR(B701="Invalid Date",C701="Invalid Date"),"Invalid Date",C701-B701)</f>
        <v>0</v>
      </c>
      <c r="W701" s="4" t="str">
        <f>IF(OR(B701="Invalid Date",C701="Invalid Date"),"Invalid Date",IF(C701&lt;B701,"Invalid Shipping","OK"))</f>
        <v>OK</v>
      </c>
      <c r="X701">
        <f t="shared" si="80"/>
        <v>1</v>
      </c>
      <c r="Y701">
        <f t="shared" si="81"/>
        <v>0.25</v>
      </c>
      <c r="Z701">
        <f t="shared" si="82"/>
        <v>9450.7425000000003</v>
      </c>
      <c r="AA701">
        <f t="shared" si="83"/>
        <v>1652.1824999999999</v>
      </c>
      <c r="AB701" s="6">
        <f t="shared" si="84"/>
        <v>0.17482039109625511</v>
      </c>
      <c r="AC701" t="str">
        <f t="shared" si="85"/>
        <v>June</v>
      </c>
      <c r="AD701">
        <f t="shared" si="86"/>
        <v>2024</v>
      </c>
      <c r="AE701" t="str">
        <f t="shared" si="87"/>
        <v>Clean</v>
      </c>
    </row>
    <row r="702" spans="1:31">
      <c r="A702" t="s">
        <v>2181</v>
      </c>
      <c r="B702" s="3">
        <v>45553</v>
      </c>
      <c r="C702" s="3" t="s">
        <v>2763</v>
      </c>
      <c r="D702" t="s">
        <v>2182</v>
      </c>
      <c r="E702" t="s">
        <v>79</v>
      </c>
      <c r="F702" t="s">
        <v>90</v>
      </c>
      <c r="G702" t="s">
        <v>38</v>
      </c>
      <c r="H702" t="s">
        <v>99</v>
      </c>
      <c r="I702" t="s">
        <v>100</v>
      </c>
      <c r="J702" t="s">
        <v>74</v>
      </c>
      <c r="K702" t="s">
        <v>274</v>
      </c>
      <c r="L702" t="s">
        <v>2183</v>
      </c>
      <c r="M702" t="s">
        <v>59</v>
      </c>
      <c r="N702">
        <v>3</v>
      </c>
      <c r="O702">
        <v>3055.9</v>
      </c>
      <c r="P702">
        <v>0.15</v>
      </c>
      <c r="Q702">
        <v>7792.55</v>
      </c>
      <c r="R702">
        <v>4691.7299999999996</v>
      </c>
      <c r="S702">
        <v>3100.82</v>
      </c>
      <c r="T702" t="s">
        <v>32</v>
      </c>
      <c r="U702" t="s">
        <v>33</v>
      </c>
      <c r="V702" t="str">
        <f>IF(OR(B702="Invalid Date",C702="Invalid Date"),"Invalid Date",C702-B702)</f>
        <v>Invalid Date</v>
      </c>
      <c r="W702" s="4" t="str">
        <f>IF(OR(B702="Invalid Date",C702="Invalid Date"),"Invalid Date",IF(C702&lt;B702,"Invalid Shipping","OK"))</f>
        <v>Invalid Date</v>
      </c>
      <c r="X702">
        <f t="shared" si="80"/>
        <v>1</v>
      </c>
      <c r="Y702">
        <f t="shared" si="81"/>
        <v>0.15</v>
      </c>
      <c r="Z702">
        <f t="shared" si="82"/>
        <v>7792.5450000000001</v>
      </c>
      <c r="AA702">
        <f t="shared" si="83"/>
        <v>3100.8150000000005</v>
      </c>
      <c r="AB702" s="6">
        <f t="shared" si="84"/>
        <v>0.39792070498149201</v>
      </c>
      <c r="AC702" t="str">
        <f t="shared" si="85"/>
        <v>September</v>
      </c>
      <c r="AD702">
        <f t="shared" si="86"/>
        <v>2024</v>
      </c>
      <c r="AE702" t="str">
        <f t="shared" si="87"/>
        <v>Invalid</v>
      </c>
    </row>
    <row r="703" spans="1:31">
      <c r="A703" t="s">
        <v>2184</v>
      </c>
      <c r="B703" s="3">
        <v>45412</v>
      </c>
      <c r="C703" s="3">
        <v>45416</v>
      </c>
      <c r="D703" t="s">
        <v>2185</v>
      </c>
      <c r="E703" t="s">
        <v>141</v>
      </c>
      <c r="F703" t="s">
        <v>37</v>
      </c>
      <c r="G703" t="s">
        <v>63</v>
      </c>
      <c r="H703" t="s">
        <v>180</v>
      </c>
      <c r="I703" t="s">
        <v>181</v>
      </c>
      <c r="J703" t="s">
        <v>28</v>
      </c>
      <c r="K703" t="s">
        <v>48</v>
      </c>
      <c r="L703" t="s">
        <v>2186</v>
      </c>
      <c r="M703" t="s">
        <v>44</v>
      </c>
      <c r="N703">
        <v>7</v>
      </c>
      <c r="O703">
        <v>1224.94</v>
      </c>
      <c r="P703">
        <v>0</v>
      </c>
      <c r="Q703">
        <v>8574.58</v>
      </c>
      <c r="R703">
        <v>6685.81</v>
      </c>
      <c r="S703">
        <v>1888.77</v>
      </c>
      <c r="T703" t="s">
        <v>32</v>
      </c>
      <c r="U703" t="s">
        <v>103</v>
      </c>
      <c r="V703">
        <f>IF(OR(B703="Invalid Date",C703="Invalid Date"),"Invalid Date",C703-B703)</f>
        <v>4</v>
      </c>
      <c r="W703" s="4" t="str">
        <f>IF(OR(B703="Invalid Date",C703="Invalid Date"),"Invalid Date",IF(C703&lt;B703,"Invalid Shipping","OK"))</f>
        <v>OK</v>
      </c>
      <c r="X703">
        <f t="shared" si="80"/>
        <v>1</v>
      </c>
      <c r="Y703">
        <f t="shared" si="81"/>
        <v>0</v>
      </c>
      <c r="Z703">
        <f t="shared" si="82"/>
        <v>8574.58</v>
      </c>
      <c r="AA703">
        <f t="shared" si="83"/>
        <v>1888.7699999999995</v>
      </c>
      <c r="AB703" s="6">
        <f t="shared" si="84"/>
        <v>0.22027551203674112</v>
      </c>
      <c r="AC703" t="str">
        <f t="shared" si="85"/>
        <v>April</v>
      </c>
      <c r="AD703">
        <f t="shared" si="86"/>
        <v>2024</v>
      </c>
      <c r="AE703" t="str">
        <f t="shared" si="87"/>
        <v>Clean</v>
      </c>
    </row>
    <row r="704" spans="1:31">
      <c r="A704" t="s">
        <v>2187</v>
      </c>
      <c r="B704" s="3">
        <v>45690</v>
      </c>
      <c r="C704" s="3">
        <v>45810</v>
      </c>
      <c r="D704" t="s">
        <v>2188</v>
      </c>
      <c r="E704" t="s">
        <v>23</v>
      </c>
      <c r="F704" t="s">
        <v>37</v>
      </c>
      <c r="G704" t="s">
        <v>63</v>
      </c>
      <c r="H704" t="s">
        <v>26</v>
      </c>
      <c r="I704" t="s">
        <v>109</v>
      </c>
      <c r="J704" t="s">
        <v>41</v>
      </c>
      <c r="K704" t="s">
        <v>42</v>
      </c>
      <c r="L704" t="s">
        <v>2189</v>
      </c>
      <c r="M704" t="s">
        <v>31</v>
      </c>
      <c r="N704">
        <v>3</v>
      </c>
      <c r="O704">
        <v>997.34</v>
      </c>
      <c r="P704">
        <v>0.1</v>
      </c>
      <c r="Q704">
        <v>2692.82</v>
      </c>
      <c r="R704">
        <v>1820.08</v>
      </c>
      <c r="S704">
        <v>872.74</v>
      </c>
      <c r="T704" t="s">
        <v>32</v>
      </c>
      <c r="U704" t="s">
        <v>33</v>
      </c>
      <c r="V704">
        <f>IF(OR(B704="Invalid Date",C704="Invalid Date"),"Invalid Date",C704-B704)</f>
        <v>120</v>
      </c>
      <c r="W704" s="4" t="str">
        <f>IF(OR(B704="Invalid Date",C704="Invalid Date"),"Invalid Date",IF(C704&lt;B704,"Invalid Shipping","OK"))</f>
        <v>OK</v>
      </c>
      <c r="X704">
        <f t="shared" si="80"/>
        <v>1</v>
      </c>
      <c r="Y704">
        <f t="shared" si="81"/>
        <v>0.1</v>
      </c>
      <c r="Z704">
        <f t="shared" si="82"/>
        <v>2692.8180000000002</v>
      </c>
      <c r="AA704">
        <f t="shared" si="83"/>
        <v>872.73800000000028</v>
      </c>
      <c r="AB704" s="6">
        <f t="shared" si="84"/>
        <v>0.32409839803506968</v>
      </c>
      <c r="AC704" t="str">
        <f t="shared" si="85"/>
        <v>February</v>
      </c>
      <c r="AD704">
        <f t="shared" si="86"/>
        <v>2025</v>
      </c>
      <c r="AE704" t="str">
        <f t="shared" si="87"/>
        <v>Clean</v>
      </c>
    </row>
    <row r="705" spans="1:31">
      <c r="A705" t="s">
        <v>2190</v>
      </c>
      <c r="B705" s="3">
        <v>45584</v>
      </c>
      <c r="C705" s="3">
        <v>45585</v>
      </c>
      <c r="D705" t="s">
        <v>2191</v>
      </c>
      <c r="E705" t="s">
        <v>89</v>
      </c>
      <c r="F705" t="s">
        <v>90</v>
      </c>
      <c r="G705" t="s">
        <v>25</v>
      </c>
      <c r="H705" t="s">
        <v>26</v>
      </c>
      <c r="I705" t="s">
        <v>27</v>
      </c>
      <c r="J705" t="s">
        <v>41</v>
      </c>
      <c r="K705" t="s">
        <v>42</v>
      </c>
      <c r="L705" t="s">
        <v>2192</v>
      </c>
      <c r="M705" t="s">
        <v>50</v>
      </c>
      <c r="N705">
        <v>1</v>
      </c>
      <c r="O705">
        <v>1150.03</v>
      </c>
      <c r="P705">
        <v>0.1</v>
      </c>
      <c r="Q705">
        <v>1035.03</v>
      </c>
      <c r="R705">
        <v>854.35</v>
      </c>
      <c r="S705">
        <v>180.68</v>
      </c>
      <c r="T705" t="s">
        <v>32</v>
      </c>
      <c r="U705" t="s">
        <v>33</v>
      </c>
      <c r="V705">
        <f>IF(OR(B705="Invalid Date",C705="Invalid Date"),"Invalid Date",C705-B705)</f>
        <v>1</v>
      </c>
      <c r="W705" s="4" t="str">
        <f>IF(OR(B705="Invalid Date",C705="Invalid Date"),"Invalid Date",IF(C705&lt;B705,"Invalid Shipping","OK"))</f>
        <v>OK</v>
      </c>
      <c r="X705">
        <f t="shared" si="80"/>
        <v>1</v>
      </c>
      <c r="Y705">
        <f t="shared" si="81"/>
        <v>0.1</v>
      </c>
      <c r="Z705">
        <f t="shared" si="82"/>
        <v>1035.027</v>
      </c>
      <c r="AA705">
        <f t="shared" si="83"/>
        <v>180.67700000000002</v>
      </c>
      <c r="AB705" s="6">
        <f t="shared" si="84"/>
        <v>0.1745625959516032</v>
      </c>
      <c r="AC705" t="str">
        <f t="shared" si="85"/>
        <v>October</v>
      </c>
      <c r="AD705">
        <f t="shared" si="86"/>
        <v>2024</v>
      </c>
      <c r="AE705" t="str">
        <f t="shared" si="87"/>
        <v>Clean</v>
      </c>
    </row>
    <row r="706" spans="1:31">
      <c r="A706" t="s">
        <v>2193</v>
      </c>
      <c r="B706" s="3">
        <v>45364</v>
      </c>
      <c r="C706" s="3" t="s">
        <v>2763</v>
      </c>
      <c r="D706" t="s">
        <v>2194</v>
      </c>
      <c r="E706" t="s">
        <v>114</v>
      </c>
      <c r="F706" t="s">
        <v>95</v>
      </c>
      <c r="G706" t="s">
        <v>54</v>
      </c>
      <c r="H706" t="s">
        <v>247</v>
      </c>
      <c r="I706" t="s">
        <v>248</v>
      </c>
      <c r="J706" t="s">
        <v>41</v>
      </c>
      <c r="K706" t="s">
        <v>158</v>
      </c>
      <c r="L706" t="s">
        <v>2195</v>
      </c>
      <c r="M706" t="s">
        <v>2767</v>
      </c>
      <c r="N706">
        <v>1</v>
      </c>
      <c r="O706">
        <v>2825.63</v>
      </c>
      <c r="P706">
        <v>0.15</v>
      </c>
      <c r="Q706">
        <v>2401.79</v>
      </c>
      <c r="R706">
        <v>1820.34</v>
      </c>
      <c r="S706">
        <v>581.45000000000005</v>
      </c>
      <c r="T706" t="s">
        <v>32</v>
      </c>
      <c r="U706" t="s">
        <v>33</v>
      </c>
      <c r="V706" t="str">
        <f>IF(OR(B706="Invalid Date",C706="Invalid Date"),"Invalid Date",C706-B706)</f>
        <v>Invalid Date</v>
      </c>
      <c r="W706" s="4" t="str">
        <f>IF(OR(B706="Invalid Date",C706="Invalid Date"),"Invalid Date",IF(C706&lt;B706,"Invalid Shipping","OK"))</f>
        <v>Invalid Date</v>
      </c>
      <c r="X706">
        <f t="shared" si="80"/>
        <v>1</v>
      </c>
      <c r="Y706">
        <f t="shared" si="81"/>
        <v>0.15</v>
      </c>
      <c r="Z706">
        <f t="shared" si="82"/>
        <v>2401.7855</v>
      </c>
      <c r="AA706">
        <f t="shared" si="83"/>
        <v>581.44550000000004</v>
      </c>
      <c r="AB706" s="6">
        <f t="shared" si="84"/>
        <v>0.24208885431276025</v>
      </c>
      <c r="AC706" t="str">
        <f t="shared" si="85"/>
        <v>March</v>
      </c>
      <c r="AD706">
        <f t="shared" si="86"/>
        <v>2024</v>
      </c>
      <c r="AE706" t="str">
        <f t="shared" si="87"/>
        <v>Invalid</v>
      </c>
    </row>
    <row r="707" spans="1:31">
      <c r="A707" t="s">
        <v>2196</v>
      </c>
      <c r="B707" s="3">
        <v>45543</v>
      </c>
      <c r="C707" s="3" t="s">
        <v>2763</v>
      </c>
      <c r="D707" t="s">
        <v>2197</v>
      </c>
      <c r="E707" t="s">
        <v>141</v>
      </c>
      <c r="F707" t="s">
        <v>24</v>
      </c>
      <c r="G707" t="s">
        <v>25</v>
      </c>
      <c r="H707" t="s">
        <v>26</v>
      </c>
      <c r="I707" t="s">
        <v>27</v>
      </c>
      <c r="J707" t="s">
        <v>28</v>
      </c>
      <c r="K707" t="s">
        <v>153</v>
      </c>
      <c r="L707" t="s">
        <v>2198</v>
      </c>
      <c r="M707" t="s">
        <v>59</v>
      </c>
      <c r="N707">
        <v>5</v>
      </c>
      <c r="O707">
        <v>3371.75</v>
      </c>
      <c r="P707">
        <v>0.05</v>
      </c>
      <c r="Q707">
        <v>16015.81</v>
      </c>
      <c r="R707">
        <v>11352.38</v>
      </c>
      <c r="S707">
        <v>4663.43</v>
      </c>
      <c r="T707" t="s">
        <v>32</v>
      </c>
      <c r="U707" t="s">
        <v>33</v>
      </c>
      <c r="V707" t="str">
        <f>IF(OR(B707="Invalid Date",C707="Invalid Date"),"Invalid Date",C707-B707)</f>
        <v>Invalid Date</v>
      </c>
      <c r="W707" s="4" t="str">
        <f>IF(OR(B707="Invalid Date",C707="Invalid Date"),"Invalid Date",IF(C707&lt;B707,"Invalid Shipping","OK"))</f>
        <v>Invalid Date</v>
      </c>
      <c r="X707">
        <f t="shared" ref="X707:X770" si="88">COUNTIF($A:$A,A707)</f>
        <v>1</v>
      </c>
      <c r="Y707">
        <f t="shared" ref="Y707:Y770" si="89">IF(P707="",0,IF(OR(P707&lt;0,P707&gt;1),"Invalid",P707))</f>
        <v>0.05</v>
      </c>
      <c r="Z707">
        <f t="shared" ref="Z707:Z770" si="90">IF(ISTEXT(Y707),"",N707*O707*(1-Y707))</f>
        <v>16015.8125</v>
      </c>
      <c r="AA707">
        <f t="shared" ref="AA707:AA770" si="91">IF(Z707="","",Z707-R707)</f>
        <v>4663.4325000000008</v>
      </c>
      <c r="AB707" s="6">
        <f t="shared" ref="AB707:AB770" si="92">IF(OR(Z707="",Z707=0),"",AA707/Z707)</f>
        <v>0.29117676671102394</v>
      </c>
      <c r="AC707" t="str">
        <f t="shared" ref="AC707:AC770" si="93">IF(ISNUMBER(B707),TEXT(B707,"mmmm"),"")</f>
        <v>September</v>
      </c>
      <c r="AD707">
        <f t="shared" ref="AD707:AD770" si="94">IF(ISNUMBER(B707),YEAR(B707),"")</f>
        <v>2024</v>
      </c>
      <c r="AE707" t="str">
        <f t="shared" ref="AE707:AE770" si="95">IF(OR(B707="Invalid Date",C707="Invalid Date",W707="Invalid Date",W707="Invalid Shipping",Y707="Invalid"),"Invalid",IF(OR(G707="Unknown",M707="Unknown"),"Warning","Clean"))</f>
        <v>Invalid</v>
      </c>
    </row>
    <row r="708" spans="1:31">
      <c r="A708" t="s">
        <v>2199</v>
      </c>
      <c r="B708" s="3">
        <v>45467</v>
      </c>
      <c r="C708" s="3">
        <v>45471</v>
      </c>
      <c r="D708" t="s">
        <v>2200</v>
      </c>
      <c r="E708" t="s">
        <v>47</v>
      </c>
      <c r="F708" t="s">
        <v>37</v>
      </c>
      <c r="G708" t="s">
        <v>38</v>
      </c>
      <c r="H708" t="s">
        <v>39</v>
      </c>
      <c r="I708" t="s">
        <v>40</v>
      </c>
      <c r="J708" t="s">
        <v>28</v>
      </c>
      <c r="K708" t="s">
        <v>29</v>
      </c>
      <c r="L708" t="s">
        <v>2201</v>
      </c>
      <c r="M708" t="s">
        <v>44</v>
      </c>
      <c r="N708">
        <v>1</v>
      </c>
      <c r="O708">
        <v>2112.75</v>
      </c>
      <c r="P708">
        <v>0.1</v>
      </c>
      <c r="Q708">
        <v>1901.48</v>
      </c>
      <c r="R708">
        <v>1354.28</v>
      </c>
      <c r="S708">
        <v>547.20000000000005</v>
      </c>
      <c r="T708" t="s">
        <v>32</v>
      </c>
      <c r="U708" t="s">
        <v>33</v>
      </c>
      <c r="V708">
        <f>IF(OR(B708="Invalid Date",C708="Invalid Date"),"Invalid Date",C708-B708)</f>
        <v>4</v>
      </c>
      <c r="W708" s="4" t="str">
        <f>IF(OR(B708="Invalid Date",C708="Invalid Date"),"Invalid Date",IF(C708&lt;B708,"Invalid Shipping","OK"))</f>
        <v>OK</v>
      </c>
      <c r="X708">
        <f t="shared" si="88"/>
        <v>1</v>
      </c>
      <c r="Y708">
        <f t="shared" si="89"/>
        <v>0.1</v>
      </c>
      <c r="Z708">
        <f t="shared" si="90"/>
        <v>1901.4750000000001</v>
      </c>
      <c r="AA708">
        <f t="shared" si="91"/>
        <v>547.19500000000016</v>
      </c>
      <c r="AB708" s="6">
        <f t="shared" si="92"/>
        <v>0.28777396494826391</v>
      </c>
      <c r="AC708" t="str">
        <f t="shared" si="93"/>
        <v>June</v>
      </c>
      <c r="AD708">
        <f t="shared" si="94"/>
        <v>2024</v>
      </c>
      <c r="AE708" t="str">
        <f t="shared" si="95"/>
        <v>Clean</v>
      </c>
    </row>
    <row r="709" spans="1:31">
      <c r="A709" t="s">
        <v>2202</v>
      </c>
      <c r="B709" s="3">
        <v>45832</v>
      </c>
      <c r="C709" s="3" t="s">
        <v>2763</v>
      </c>
      <c r="D709" t="s">
        <v>2203</v>
      </c>
      <c r="E709" t="s">
        <v>71</v>
      </c>
      <c r="F709" t="s">
        <v>24</v>
      </c>
      <c r="G709" t="s">
        <v>25</v>
      </c>
      <c r="H709" t="s">
        <v>26</v>
      </c>
      <c r="I709" t="s">
        <v>27</v>
      </c>
      <c r="J709" t="s">
        <v>74</v>
      </c>
      <c r="K709" t="s">
        <v>75</v>
      </c>
      <c r="L709" t="s">
        <v>2204</v>
      </c>
      <c r="M709" t="s">
        <v>44</v>
      </c>
      <c r="N709">
        <v>5</v>
      </c>
      <c r="O709">
        <v>3722.66</v>
      </c>
      <c r="P709">
        <v>0.55000000000000004</v>
      </c>
      <c r="Q709">
        <v>16751.97</v>
      </c>
      <c r="R709">
        <v>11678.32</v>
      </c>
      <c r="S709">
        <v>5073.6499999999996</v>
      </c>
      <c r="T709" t="s">
        <v>32</v>
      </c>
      <c r="U709" t="s">
        <v>33</v>
      </c>
      <c r="V709" t="str">
        <f>IF(OR(B709="Invalid Date",C709="Invalid Date"),"Invalid Date",C709-B709)</f>
        <v>Invalid Date</v>
      </c>
      <c r="W709" s="4" t="str">
        <f>IF(OR(B709="Invalid Date",C709="Invalid Date"),"Invalid Date",IF(C709&lt;B709,"Invalid Shipping","OK"))</f>
        <v>Invalid Date</v>
      </c>
      <c r="X709">
        <f t="shared" si="88"/>
        <v>1</v>
      </c>
      <c r="Y709">
        <f t="shared" si="89"/>
        <v>0.55000000000000004</v>
      </c>
      <c r="Z709">
        <f t="shared" si="90"/>
        <v>8375.9849999999988</v>
      </c>
      <c r="AA709">
        <f t="shared" si="91"/>
        <v>-3302.3350000000009</v>
      </c>
      <c r="AB709" s="6">
        <f t="shared" si="92"/>
        <v>-0.39426228676388525</v>
      </c>
      <c r="AC709" t="str">
        <f t="shared" si="93"/>
        <v>June</v>
      </c>
      <c r="AD709">
        <f t="shared" si="94"/>
        <v>2025</v>
      </c>
      <c r="AE709" t="str">
        <f t="shared" si="95"/>
        <v>Invalid</v>
      </c>
    </row>
    <row r="710" spans="1:31">
      <c r="A710" t="s">
        <v>2205</v>
      </c>
      <c r="B710" s="3" t="s">
        <v>2763</v>
      </c>
      <c r="C710" s="3">
        <v>45742</v>
      </c>
      <c r="D710" t="s">
        <v>2206</v>
      </c>
      <c r="E710" t="s">
        <v>132</v>
      </c>
      <c r="F710" t="s">
        <v>24</v>
      </c>
      <c r="G710" t="s">
        <v>38</v>
      </c>
      <c r="H710" t="s">
        <v>166</v>
      </c>
      <c r="I710" t="s">
        <v>167</v>
      </c>
      <c r="J710" t="s">
        <v>41</v>
      </c>
      <c r="K710" t="s">
        <v>158</v>
      </c>
      <c r="L710" t="s">
        <v>2207</v>
      </c>
      <c r="M710" t="s">
        <v>50</v>
      </c>
      <c r="N710">
        <v>4</v>
      </c>
      <c r="O710">
        <v>4357.66</v>
      </c>
      <c r="P710">
        <v>0.05</v>
      </c>
      <c r="Q710">
        <v>16559.11</v>
      </c>
      <c r="R710">
        <v>13233.79</v>
      </c>
      <c r="S710">
        <v>3325.32</v>
      </c>
      <c r="T710" t="s">
        <v>32</v>
      </c>
      <c r="U710" t="s">
        <v>33</v>
      </c>
      <c r="V710" t="str">
        <f>IF(OR(B710="Invalid Date",C710="Invalid Date"),"Invalid Date",C710-B710)</f>
        <v>Invalid Date</v>
      </c>
      <c r="W710" s="4" t="str">
        <f>IF(OR(B710="Invalid Date",C710="Invalid Date"),"Invalid Date",IF(C710&lt;B710,"Invalid Shipping","OK"))</f>
        <v>Invalid Date</v>
      </c>
      <c r="X710">
        <f t="shared" si="88"/>
        <v>1</v>
      </c>
      <c r="Y710">
        <f t="shared" si="89"/>
        <v>0.05</v>
      </c>
      <c r="Z710">
        <f t="shared" si="90"/>
        <v>16559.108</v>
      </c>
      <c r="AA710">
        <f t="shared" si="91"/>
        <v>3325.3179999999993</v>
      </c>
      <c r="AB710" s="6">
        <f t="shared" si="92"/>
        <v>0.20081504390212318</v>
      </c>
      <c r="AC710" t="str">
        <f t="shared" si="93"/>
        <v/>
      </c>
      <c r="AD710" t="str">
        <f t="shared" si="94"/>
        <v/>
      </c>
      <c r="AE710" t="str">
        <f t="shared" si="95"/>
        <v>Invalid</v>
      </c>
    </row>
    <row r="711" spans="1:31">
      <c r="A711" t="s">
        <v>2208</v>
      </c>
      <c r="B711" s="3">
        <v>45676</v>
      </c>
      <c r="C711" s="3">
        <v>45680</v>
      </c>
      <c r="D711" t="s">
        <v>2209</v>
      </c>
      <c r="E711" t="s">
        <v>264</v>
      </c>
      <c r="F711" t="s">
        <v>95</v>
      </c>
      <c r="G711" t="s">
        <v>25</v>
      </c>
      <c r="H711" t="s">
        <v>122</v>
      </c>
      <c r="I711" t="s">
        <v>123</v>
      </c>
      <c r="J711" t="s">
        <v>74</v>
      </c>
      <c r="K711" t="s">
        <v>171</v>
      </c>
      <c r="L711" t="s">
        <v>2210</v>
      </c>
      <c r="M711" t="s">
        <v>44</v>
      </c>
      <c r="N711">
        <v>7</v>
      </c>
      <c r="O711">
        <v>1363.04</v>
      </c>
      <c r="P711">
        <v>0.15</v>
      </c>
      <c r="Q711">
        <v>8110.09</v>
      </c>
      <c r="R711">
        <v>6417.32</v>
      </c>
      <c r="S711">
        <v>1692.77</v>
      </c>
      <c r="T711" t="s">
        <v>32</v>
      </c>
      <c r="U711" t="s">
        <v>68</v>
      </c>
      <c r="V711">
        <f>IF(OR(B711="Invalid Date",C711="Invalid Date"),"Invalid Date",C711-B711)</f>
        <v>4</v>
      </c>
      <c r="W711" s="4" t="str">
        <f>IF(OR(B711="Invalid Date",C711="Invalid Date"),"Invalid Date",IF(C711&lt;B711,"Invalid Shipping","OK"))</f>
        <v>OK</v>
      </c>
      <c r="X711">
        <f t="shared" si="88"/>
        <v>1</v>
      </c>
      <c r="Y711">
        <f t="shared" si="89"/>
        <v>0.15</v>
      </c>
      <c r="Z711">
        <f t="shared" si="90"/>
        <v>8110.0879999999988</v>
      </c>
      <c r="AA711">
        <f t="shared" si="91"/>
        <v>1692.7679999999991</v>
      </c>
      <c r="AB711" s="6">
        <f t="shared" si="92"/>
        <v>0.2087237524426368</v>
      </c>
      <c r="AC711" t="str">
        <f t="shared" si="93"/>
        <v>January</v>
      </c>
      <c r="AD711">
        <f t="shared" si="94"/>
        <v>2025</v>
      </c>
      <c r="AE711" t="str">
        <f t="shared" si="95"/>
        <v>Clean</v>
      </c>
    </row>
    <row r="712" spans="1:31">
      <c r="A712" t="s">
        <v>2211</v>
      </c>
      <c r="B712" s="3">
        <v>45633</v>
      </c>
      <c r="C712" s="3" t="s">
        <v>2763</v>
      </c>
      <c r="D712" t="s">
        <v>2212</v>
      </c>
      <c r="E712" t="s">
        <v>71</v>
      </c>
      <c r="F712" t="s">
        <v>90</v>
      </c>
      <c r="G712" t="s">
        <v>25</v>
      </c>
      <c r="H712" t="s">
        <v>122</v>
      </c>
      <c r="I712" t="s">
        <v>123</v>
      </c>
      <c r="J712" t="s">
        <v>28</v>
      </c>
      <c r="K712" t="s">
        <v>48</v>
      </c>
      <c r="L712" t="s">
        <v>2213</v>
      </c>
      <c r="M712" t="s">
        <v>31</v>
      </c>
      <c r="N712">
        <v>5</v>
      </c>
      <c r="O712">
        <v>1559.16</v>
      </c>
      <c r="P712">
        <v>0.05</v>
      </c>
      <c r="Q712">
        <v>7406.01</v>
      </c>
      <c r="R712">
        <v>5941.74</v>
      </c>
      <c r="S712">
        <v>1464.27</v>
      </c>
      <c r="T712" t="s">
        <v>32</v>
      </c>
      <c r="U712" t="s">
        <v>33</v>
      </c>
      <c r="V712" t="str">
        <f>IF(OR(B712="Invalid Date",C712="Invalid Date"),"Invalid Date",C712-B712)</f>
        <v>Invalid Date</v>
      </c>
      <c r="W712" s="4" t="str">
        <f>IF(OR(B712="Invalid Date",C712="Invalid Date"),"Invalid Date",IF(C712&lt;B712,"Invalid Shipping","OK"))</f>
        <v>Invalid Date</v>
      </c>
      <c r="X712">
        <f t="shared" si="88"/>
        <v>1</v>
      </c>
      <c r="Y712">
        <f t="shared" si="89"/>
        <v>0.05</v>
      </c>
      <c r="Z712">
        <f t="shared" si="90"/>
        <v>7406.01</v>
      </c>
      <c r="AA712">
        <f t="shared" si="91"/>
        <v>1464.2700000000004</v>
      </c>
      <c r="AB712" s="6">
        <f t="shared" si="92"/>
        <v>0.19771374869869207</v>
      </c>
      <c r="AC712" t="str">
        <f t="shared" si="93"/>
        <v>December</v>
      </c>
      <c r="AD712">
        <f t="shared" si="94"/>
        <v>2024</v>
      </c>
      <c r="AE712" t="str">
        <f t="shared" si="95"/>
        <v>Invalid</v>
      </c>
    </row>
    <row r="713" spans="1:31">
      <c r="A713" t="s">
        <v>2214</v>
      </c>
      <c r="B713" s="3">
        <v>45690</v>
      </c>
      <c r="C713" s="3">
        <v>45690</v>
      </c>
      <c r="D713" t="s">
        <v>2215</v>
      </c>
      <c r="E713" t="s">
        <v>264</v>
      </c>
      <c r="F713" t="s">
        <v>90</v>
      </c>
      <c r="G713" t="s">
        <v>38</v>
      </c>
      <c r="H713" t="s">
        <v>99</v>
      </c>
      <c r="I713" t="s">
        <v>100</v>
      </c>
      <c r="J713" t="s">
        <v>74</v>
      </c>
      <c r="K713" t="s">
        <v>274</v>
      </c>
      <c r="L713" t="s">
        <v>2216</v>
      </c>
      <c r="M713" t="s">
        <v>50</v>
      </c>
      <c r="N713">
        <v>1</v>
      </c>
      <c r="O713">
        <v>4326.75</v>
      </c>
      <c r="P713">
        <v>0.05</v>
      </c>
      <c r="Q713">
        <v>4110.41</v>
      </c>
      <c r="R713">
        <v>2394.14</v>
      </c>
      <c r="S713">
        <v>1716.27</v>
      </c>
      <c r="T713" t="s">
        <v>111</v>
      </c>
      <c r="U713" t="s">
        <v>103</v>
      </c>
      <c r="V713">
        <f>IF(OR(B713="Invalid Date",C713="Invalid Date"),"Invalid Date",C713-B713)</f>
        <v>0</v>
      </c>
      <c r="W713" s="4" t="str">
        <f>IF(OR(B713="Invalid Date",C713="Invalid Date"),"Invalid Date",IF(C713&lt;B713,"Invalid Shipping","OK"))</f>
        <v>OK</v>
      </c>
      <c r="X713">
        <f t="shared" si="88"/>
        <v>1</v>
      </c>
      <c r="Y713">
        <f t="shared" si="89"/>
        <v>0.05</v>
      </c>
      <c r="Z713">
        <f t="shared" si="90"/>
        <v>4110.4124999999995</v>
      </c>
      <c r="AA713">
        <f t="shared" si="91"/>
        <v>1716.2724999999996</v>
      </c>
      <c r="AB713" s="6">
        <f t="shared" si="92"/>
        <v>0.41754264322619683</v>
      </c>
      <c r="AC713" t="str">
        <f t="shared" si="93"/>
        <v>February</v>
      </c>
      <c r="AD713">
        <f t="shared" si="94"/>
        <v>2025</v>
      </c>
      <c r="AE713" t="str">
        <f t="shared" si="95"/>
        <v>Clean</v>
      </c>
    </row>
    <row r="714" spans="1:31">
      <c r="A714" t="s">
        <v>2217</v>
      </c>
      <c r="B714" s="3">
        <v>45332</v>
      </c>
      <c r="C714" s="3">
        <v>45340</v>
      </c>
      <c r="D714" t="s">
        <v>2218</v>
      </c>
      <c r="E714" t="s">
        <v>47</v>
      </c>
      <c r="F714" t="s">
        <v>95</v>
      </c>
      <c r="G714" t="s">
        <v>63</v>
      </c>
      <c r="H714" t="s">
        <v>72</v>
      </c>
      <c r="I714" t="s">
        <v>73</v>
      </c>
      <c r="J714" t="s">
        <v>41</v>
      </c>
      <c r="K714" t="s">
        <v>66</v>
      </c>
      <c r="L714" t="s">
        <v>2219</v>
      </c>
      <c r="M714" t="s">
        <v>50</v>
      </c>
      <c r="N714">
        <v>7</v>
      </c>
      <c r="O714">
        <v>1382.86</v>
      </c>
      <c r="P714">
        <v>0</v>
      </c>
      <c r="Q714">
        <v>9680.02</v>
      </c>
      <c r="R714">
        <v>6876.66</v>
      </c>
      <c r="S714">
        <v>2803.36</v>
      </c>
      <c r="T714" t="s">
        <v>32</v>
      </c>
      <c r="U714" t="s">
        <v>33</v>
      </c>
      <c r="V714">
        <f>IF(OR(B714="Invalid Date",C714="Invalid Date"),"Invalid Date",C714-B714)</f>
        <v>8</v>
      </c>
      <c r="W714" s="4" t="str">
        <f>IF(OR(B714="Invalid Date",C714="Invalid Date"),"Invalid Date",IF(C714&lt;B714,"Invalid Shipping","OK"))</f>
        <v>OK</v>
      </c>
      <c r="X714">
        <f t="shared" si="88"/>
        <v>1</v>
      </c>
      <c r="Y714">
        <f t="shared" si="89"/>
        <v>0</v>
      </c>
      <c r="Z714">
        <f t="shared" si="90"/>
        <v>9680.0199999999986</v>
      </c>
      <c r="AA714">
        <f t="shared" si="91"/>
        <v>2803.3599999999988</v>
      </c>
      <c r="AB714" s="6">
        <f t="shared" si="92"/>
        <v>0.28960270743242256</v>
      </c>
      <c r="AC714" t="str">
        <f t="shared" si="93"/>
        <v>February</v>
      </c>
      <c r="AD714">
        <f t="shared" si="94"/>
        <v>2024</v>
      </c>
      <c r="AE714" t="str">
        <f t="shared" si="95"/>
        <v>Clean</v>
      </c>
    </row>
    <row r="715" spans="1:31">
      <c r="A715" t="s">
        <v>2220</v>
      </c>
      <c r="B715" s="3">
        <v>45814</v>
      </c>
      <c r="C715" s="3">
        <v>45936</v>
      </c>
      <c r="D715" t="s">
        <v>599</v>
      </c>
      <c r="E715" t="s">
        <v>36</v>
      </c>
      <c r="F715" t="s">
        <v>24</v>
      </c>
      <c r="G715" t="s">
        <v>63</v>
      </c>
      <c r="H715" t="s">
        <v>26</v>
      </c>
      <c r="I715" t="s">
        <v>109</v>
      </c>
      <c r="J715" t="s">
        <v>74</v>
      </c>
      <c r="K715" t="s">
        <v>274</v>
      </c>
      <c r="L715" t="s">
        <v>2221</v>
      </c>
      <c r="M715" t="s">
        <v>31</v>
      </c>
      <c r="N715">
        <v>1</v>
      </c>
      <c r="O715">
        <v>289.97000000000003</v>
      </c>
      <c r="P715">
        <v>0.25</v>
      </c>
      <c r="Q715">
        <v>217.48</v>
      </c>
      <c r="R715">
        <v>132.13</v>
      </c>
      <c r="S715">
        <v>85.35</v>
      </c>
      <c r="T715" t="s">
        <v>32</v>
      </c>
      <c r="U715" t="s">
        <v>33</v>
      </c>
      <c r="V715">
        <f>IF(OR(B715="Invalid Date",C715="Invalid Date"),"Invalid Date",C715-B715)</f>
        <v>122</v>
      </c>
      <c r="W715" s="4" t="str">
        <f>IF(OR(B715="Invalid Date",C715="Invalid Date"),"Invalid Date",IF(C715&lt;B715,"Invalid Shipping","OK"))</f>
        <v>OK</v>
      </c>
      <c r="X715">
        <f t="shared" si="88"/>
        <v>1</v>
      </c>
      <c r="Y715">
        <f t="shared" si="89"/>
        <v>0.25</v>
      </c>
      <c r="Z715">
        <f t="shared" si="90"/>
        <v>217.47750000000002</v>
      </c>
      <c r="AA715">
        <f t="shared" si="91"/>
        <v>85.347500000000025</v>
      </c>
      <c r="AB715" s="6">
        <f t="shared" si="92"/>
        <v>0.39244289639158081</v>
      </c>
      <c r="AC715" t="str">
        <f t="shared" si="93"/>
        <v>June</v>
      </c>
      <c r="AD715">
        <f t="shared" si="94"/>
        <v>2025</v>
      </c>
      <c r="AE715" t="str">
        <f t="shared" si="95"/>
        <v>Clean</v>
      </c>
    </row>
    <row r="716" spans="1:31">
      <c r="A716" t="s">
        <v>2222</v>
      </c>
      <c r="B716" s="3">
        <v>45738</v>
      </c>
      <c r="C716" s="3">
        <v>45739</v>
      </c>
      <c r="D716" t="s">
        <v>2223</v>
      </c>
      <c r="E716" t="s">
        <v>23</v>
      </c>
      <c r="F716" t="s">
        <v>95</v>
      </c>
      <c r="G716" t="s">
        <v>25</v>
      </c>
      <c r="H716" t="s">
        <v>350</v>
      </c>
      <c r="I716" t="s">
        <v>351</v>
      </c>
      <c r="J716" t="s">
        <v>74</v>
      </c>
      <c r="K716" t="s">
        <v>80</v>
      </c>
      <c r="L716" t="s">
        <v>2224</v>
      </c>
      <c r="M716" t="s">
        <v>59</v>
      </c>
      <c r="N716">
        <v>9</v>
      </c>
      <c r="O716">
        <v>2075.02</v>
      </c>
      <c r="P716">
        <v>0</v>
      </c>
      <c r="Q716">
        <v>18675.18</v>
      </c>
      <c r="R716">
        <v>13974.7</v>
      </c>
      <c r="S716">
        <v>4700.4799999999996</v>
      </c>
      <c r="T716" t="s">
        <v>32</v>
      </c>
      <c r="U716" t="s">
        <v>33</v>
      </c>
      <c r="V716">
        <f>IF(OR(B716="Invalid Date",C716="Invalid Date"),"Invalid Date",C716-B716)</f>
        <v>1</v>
      </c>
      <c r="W716" s="4" t="str">
        <f>IF(OR(B716="Invalid Date",C716="Invalid Date"),"Invalid Date",IF(C716&lt;B716,"Invalid Shipping","OK"))</f>
        <v>OK</v>
      </c>
      <c r="X716">
        <f t="shared" si="88"/>
        <v>1</v>
      </c>
      <c r="Y716">
        <f t="shared" si="89"/>
        <v>0</v>
      </c>
      <c r="Z716">
        <f t="shared" si="90"/>
        <v>18675.18</v>
      </c>
      <c r="AA716">
        <f t="shared" si="91"/>
        <v>4700.4799999999996</v>
      </c>
      <c r="AB716" s="6">
        <f t="shared" si="92"/>
        <v>0.25169663692665878</v>
      </c>
      <c r="AC716" t="str">
        <f t="shared" si="93"/>
        <v>March</v>
      </c>
      <c r="AD716">
        <f t="shared" si="94"/>
        <v>2025</v>
      </c>
      <c r="AE716" t="str">
        <f t="shared" si="95"/>
        <v>Clean</v>
      </c>
    </row>
    <row r="717" spans="1:31">
      <c r="A717" t="s">
        <v>2225</v>
      </c>
      <c r="B717" s="3">
        <v>45891</v>
      </c>
      <c r="C717" s="3">
        <v>45896</v>
      </c>
      <c r="D717" t="s">
        <v>2226</v>
      </c>
      <c r="E717" t="s">
        <v>114</v>
      </c>
      <c r="F717" t="s">
        <v>24</v>
      </c>
      <c r="G717" t="s">
        <v>25</v>
      </c>
      <c r="H717" t="s">
        <v>236</v>
      </c>
      <c r="I717" t="s">
        <v>237</v>
      </c>
      <c r="J717" t="s">
        <v>41</v>
      </c>
      <c r="K717" t="s">
        <v>66</v>
      </c>
      <c r="L717" t="s">
        <v>2227</v>
      </c>
      <c r="M717" t="s">
        <v>31</v>
      </c>
      <c r="N717">
        <v>7</v>
      </c>
      <c r="O717">
        <v>2843.09</v>
      </c>
      <c r="P717">
        <v>0</v>
      </c>
      <c r="Q717">
        <v>19901.63</v>
      </c>
      <c r="R717">
        <v>15492.03</v>
      </c>
      <c r="S717">
        <v>4409.6000000000004</v>
      </c>
      <c r="T717" t="s">
        <v>102</v>
      </c>
      <c r="U717" t="s">
        <v>68</v>
      </c>
      <c r="V717">
        <f>IF(OR(B717="Invalid Date",C717="Invalid Date"),"Invalid Date",C717-B717)</f>
        <v>5</v>
      </c>
      <c r="W717" s="4" t="str">
        <f>IF(OR(B717="Invalid Date",C717="Invalid Date"),"Invalid Date",IF(C717&lt;B717,"Invalid Shipping","OK"))</f>
        <v>OK</v>
      </c>
      <c r="X717">
        <f t="shared" si="88"/>
        <v>1</v>
      </c>
      <c r="Y717">
        <f t="shared" si="89"/>
        <v>0</v>
      </c>
      <c r="Z717">
        <f t="shared" si="90"/>
        <v>19901.63</v>
      </c>
      <c r="AA717">
        <f t="shared" si="91"/>
        <v>4409.6000000000004</v>
      </c>
      <c r="AB717" s="6">
        <f t="shared" si="92"/>
        <v>0.22156979101711771</v>
      </c>
      <c r="AC717" t="str">
        <f t="shared" si="93"/>
        <v>August</v>
      </c>
      <c r="AD717">
        <f t="shared" si="94"/>
        <v>2025</v>
      </c>
      <c r="AE717" t="str">
        <f t="shared" si="95"/>
        <v>Clean</v>
      </c>
    </row>
    <row r="718" spans="1:31">
      <c r="A718" t="s">
        <v>2228</v>
      </c>
      <c r="B718" s="3">
        <v>45895</v>
      </c>
      <c r="C718" s="3">
        <v>45900</v>
      </c>
      <c r="D718" t="s">
        <v>2229</v>
      </c>
      <c r="E718" t="s">
        <v>162</v>
      </c>
      <c r="F718" t="s">
        <v>37</v>
      </c>
      <c r="G718" t="s">
        <v>25</v>
      </c>
      <c r="H718" t="s">
        <v>236</v>
      </c>
      <c r="I718" t="s">
        <v>237</v>
      </c>
      <c r="J718" t="s">
        <v>74</v>
      </c>
      <c r="K718" t="s">
        <v>171</v>
      </c>
      <c r="L718" t="s">
        <v>2230</v>
      </c>
      <c r="M718" t="s">
        <v>50</v>
      </c>
      <c r="N718">
        <v>1</v>
      </c>
      <c r="O718">
        <v>3388.02</v>
      </c>
      <c r="P718">
        <v>0.15</v>
      </c>
      <c r="Q718">
        <v>2879.82</v>
      </c>
      <c r="R718">
        <v>1824.88</v>
      </c>
      <c r="S718">
        <v>1054.94</v>
      </c>
      <c r="T718" t="s">
        <v>32</v>
      </c>
      <c r="U718" t="s">
        <v>33</v>
      </c>
      <c r="V718">
        <f>IF(OR(B718="Invalid Date",C718="Invalid Date"),"Invalid Date",C718-B718)</f>
        <v>5</v>
      </c>
      <c r="W718" s="4" t="str">
        <f>IF(OR(B718="Invalid Date",C718="Invalid Date"),"Invalid Date",IF(C718&lt;B718,"Invalid Shipping","OK"))</f>
        <v>OK</v>
      </c>
      <c r="X718">
        <f t="shared" si="88"/>
        <v>1</v>
      </c>
      <c r="Y718">
        <f t="shared" si="89"/>
        <v>0.15</v>
      </c>
      <c r="Z718">
        <f t="shared" si="90"/>
        <v>2879.817</v>
      </c>
      <c r="AA718">
        <f t="shared" si="91"/>
        <v>1054.9369999999999</v>
      </c>
      <c r="AB718" s="6">
        <f t="shared" si="92"/>
        <v>0.3663208460815392</v>
      </c>
      <c r="AC718" t="str">
        <f t="shared" si="93"/>
        <v>August</v>
      </c>
      <c r="AD718">
        <f t="shared" si="94"/>
        <v>2025</v>
      </c>
      <c r="AE718" t="str">
        <f t="shared" si="95"/>
        <v>Clean</v>
      </c>
    </row>
    <row r="719" spans="1:31">
      <c r="A719" t="s">
        <v>2231</v>
      </c>
      <c r="B719" s="3">
        <v>45942</v>
      </c>
      <c r="C719" s="3">
        <v>45945</v>
      </c>
      <c r="D719" t="s">
        <v>2232</v>
      </c>
      <c r="E719" t="s">
        <v>264</v>
      </c>
      <c r="F719" t="s">
        <v>37</v>
      </c>
      <c r="G719" t="s">
        <v>25</v>
      </c>
      <c r="H719" t="s">
        <v>236</v>
      </c>
      <c r="I719" t="s">
        <v>237</v>
      </c>
      <c r="J719" t="s">
        <v>74</v>
      </c>
      <c r="K719" t="s">
        <v>274</v>
      </c>
      <c r="L719" t="s">
        <v>2233</v>
      </c>
      <c r="M719" t="s">
        <v>59</v>
      </c>
      <c r="N719">
        <v>9</v>
      </c>
      <c r="O719">
        <v>2598.92</v>
      </c>
      <c r="P719">
        <v>0.2</v>
      </c>
      <c r="Q719">
        <v>18712.22</v>
      </c>
      <c r="R719">
        <v>11852.22</v>
      </c>
      <c r="S719">
        <v>6860</v>
      </c>
      <c r="T719" t="s">
        <v>111</v>
      </c>
      <c r="U719" t="s">
        <v>68</v>
      </c>
      <c r="V719">
        <f>IF(OR(B719="Invalid Date",C719="Invalid Date"),"Invalid Date",C719-B719)</f>
        <v>3</v>
      </c>
      <c r="W719" s="4" t="str">
        <f>IF(OR(B719="Invalid Date",C719="Invalid Date"),"Invalid Date",IF(C719&lt;B719,"Invalid Shipping","OK"))</f>
        <v>OK</v>
      </c>
      <c r="X719">
        <f t="shared" si="88"/>
        <v>1</v>
      </c>
      <c r="Y719">
        <f t="shared" si="89"/>
        <v>0.2</v>
      </c>
      <c r="Z719">
        <f t="shared" si="90"/>
        <v>18712.223999999998</v>
      </c>
      <c r="AA719">
        <f t="shared" si="91"/>
        <v>6860.003999999999</v>
      </c>
      <c r="AB719" s="6">
        <f t="shared" si="92"/>
        <v>0.3666054874075898</v>
      </c>
      <c r="AC719" t="str">
        <f t="shared" si="93"/>
        <v>October</v>
      </c>
      <c r="AD719">
        <f t="shared" si="94"/>
        <v>2025</v>
      </c>
      <c r="AE719" t="str">
        <f t="shared" si="95"/>
        <v>Clean</v>
      </c>
    </row>
    <row r="720" spans="1:31">
      <c r="A720" t="s">
        <v>2234</v>
      </c>
      <c r="B720" s="3">
        <v>45541</v>
      </c>
      <c r="C720" s="3">
        <v>45544</v>
      </c>
      <c r="D720" t="s">
        <v>2235</v>
      </c>
      <c r="E720" t="s">
        <v>36</v>
      </c>
      <c r="F720" t="s">
        <v>24</v>
      </c>
      <c r="G720" t="s">
        <v>63</v>
      </c>
      <c r="H720" t="s">
        <v>64</v>
      </c>
      <c r="I720" t="s">
        <v>65</v>
      </c>
      <c r="J720" t="s">
        <v>28</v>
      </c>
      <c r="K720" t="s">
        <v>48</v>
      </c>
      <c r="L720" t="s">
        <v>2236</v>
      </c>
      <c r="M720" t="s">
        <v>44</v>
      </c>
      <c r="N720">
        <v>3</v>
      </c>
      <c r="O720">
        <v>1972.27</v>
      </c>
      <c r="P720">
        <v>0.2</v>
      </c>
      <c r="Q720">
        <v>4733.45</v>
      </c>
      <c r="R720">
        <v>3672.32</v>
      </c>
      <c r="S720">
        <v>1061.1300000000001</v>
      </c>
      <c r="T720" t="s">
        <v>32</v>
      </c>
      <c r="U720" t="s">
        <v>33</v>
      </c>
      <c r="V720">
        <f>IF(OR(B720="Invalid Date",C720="Invalid Date"),"Invalid Date",C720-B720)</f>
        <v>3</v>
      </c>
      <c r="W720" s="4" t="str">
        <f>IF(OR(B720="Invalid Date",C720="Invalid Date"),"Invalid Date",IF(C720&lt;B720,"Invalid Shipping","OK"))</f>
        <v>OK</v>
      </c>
      <c r="X720">
        <f t="shared" si="88"/>
        <v>1</v>
      </c>
      <c r="Y720">
        <f t="shared" si="89"/>
        <v>0.2</v>
      </c>
      <c r="Z720">
        <f t="shared" si="90"/>
        <v>4733.4479999999994</v>
      </c>
      <c r="AA720">
        <f t="shared" si="91"/>
        <v>1061.1279999999992</v>
      </c>
      <c r="AB720" s="6">
        <f t="shared" si="92"/>
        <v>0.22417654107534282</v>
      </c>
      <c r="AC720" t="str">
        <f t="shared" si="93"/>
        <v>September</v>
      </c>
      <c r="AD720">
        <f t="shared" si="94"/>
        <v>2024</v>
      </c>
      <c r="AE720" t="str">
        <f t="shared" si="95"/>
        <v>Clean</v>
      </c>
    </row>
    <row r="721" spans="1:31">
      <c r="A721" t="s">
        <v>2237</v>
      </c>
      <c r="B721" s="3">
        <v>45908</v>
      </c>
      <c r="C721" s="3">
        <v>45909</v>
      </c>
      <c r="D721" t="s">
        <v>144</v>
      </c>
      <c r="E721" t="s">
        <v>264</v>
      </c>
      <c r="F721" t="s">
        <v>90</v>
      </c>
      <c r="G721" t="s">
        <v>63</v>
      </c>
      <c r="H721" t="s">
        <v>180</v>
      </c>
      <c r="I721" t="s">
        <v>181</v>
      </c>
      <c r="J721" t="s">
        <v>28</v>
      </c>
      <c r="K721" t="s">
        <v>48</v>
      </c>
      <c r="L721" t="s">
        <v>2238</v>
      </c>
      <c r="M721" t="s">
        <v>44</v>
      </c>
      <c r="N721">
        <v>2</v>
      </c>
      <c r="O721">
        <v>2372.41</v>
      </c>
      <c r="P721">
        <v>0.2</v>
      </c>
      <c r="Q721">
        <v>3795.86</v>
      </c>
      <c r="R721">
        <v>2264.92</v>
      </c>
      <c r="S721">
        <v>1530.94</v>
      </c>
      <c r="T721" t="s">
        <v>32</v>
      </c>
      <c r="U721" t="s">
        <v>33</v>
      </c>
      <c r="V721">
        <f>IF(OR(B721="Invalid Date",C721="Invalid Date"),"Invalid Date",C721-B721)</f>
        <v>1</v>
      </c>
      <c r="W721" s="4" t="str">
        <f>IF(OR(B721="Invalid Date",C721="Invalid Date"),"Invalid Date",IF(C721&lt;B721,"Invalid Shipping","OK"))</f>
        <v>OK</v>
      </c>
      <c r="X721">
        <f t="shared" si="88"/>
        <v>1</v>
      </c>
      <c r="Y721">
        <f t="shared" si="89"/>
        <v>0.2</v>
      </c>
      <c r="Z721">
        <f t="shared" si="90"/>
        <v>3795.8559999999998</v>
      </c>
      <c r="AA721">
        <f t="shared" si="91"/>
        <v>1530.9359999999997</v>
      </c>
      <c r="AB721" s="6">
        <f t="shared" si="92"/>
        <v>0.40331772332775528</v>
      </c>
      <c r="AC721" t="str">
        <f t="shared" si="93"/>
        <v>September</v>
      </c>
      <c r="AD721">
        <f t="shared" si="94"/>
        <v>2025</v>
      </c>
      <c r="AE721" t="str">
        <f t="shared" si="95"/>
        <v>Clean</v>
      </c>
    </row>
    <row r="722" spans="1:31">
      <c r="A722" t="s">
        <v>2239</v>
      </c>
      <c r="B722" s="3">
        <v>45489</v>
      </c>
      <c r="C722" s="3" t="s">
        <v>2763</v>
      </c>
      <c r="D722" t="s">
        <v>2240</v>
      </c>
      <c r="E722" t="s">
        <v>89</v>
      </c>
      <c r="F722" t="s">
        <v>95</v>
      </c>
      <c r="G722" t="s">
        <v>63</v>
      </c>
      <c r="H722" t="s">
        <v>72</v>
      </c>
      <c r="I722" t="s">
        <v>73</v>
      </c>
      <c r="J722" t="s">
        <v>74</v>
      </c>
      <c r="K722" t="s">
        <v>80</v>
      </c>
      <c r="L722" t="s">
        <v>2241</v>
      </c>
      <c r="M722" t="s">
        <v>44</v>
      </c>
      <c r="N722">
        <v>4</v>
      </c>
      <c r="O722">
        <v>4479.92</v>
      </c>
      <c r="P722">
        <v>0.15</v>
      </c>
      <c r="Q722">
        <v>15231.73</v>
      </c>
      <c r="R722">
        <v>12451.46</v>
      </c>
      <c r="S722">
        <v>2780.27</v>
      </c>
      <c r="T722" t="s">
        <v>32</v>
      </c>
      <c r="U722" t="s">
        <v>33</v>
      </c>
      <c r="V722" t="str">
        <f>IF(OR(B722="Invalid Date",C722="Invalid Date"),"Invalid Date",C722-B722)</f>
        <v>Invalid Date</v>
      </c>
      <c r="W722" s="4" t="str">
        <f>IF(OR(B722="Invalid Date",C722="Invalid Date"),"Invalid Date",IF(C722&lt;B722,"Invalid Shipping","OK"))</f>
        <v>Invalid Date</v>
      </c>
      <c r="X722">
        <f t="shared" si="88"/>
        <v>1</v>
      </c>
      <c r="Y722">
        <f t="shared" si="89"/>
        <v>0.15</v>
      </c>
      <c r="Z722">
        <f t="shared" si="90"/>
        <v>15231.727999999999</v>
      </c>
      <c r="AA722">
        <f t="shared" si="91"/>
        <v>2780.268</v>
      </c>
      <c r="AB722" s="6">
        <f t="shared" si="92"/>
        <v>0.1825313582280356</v>
      </c>
      <c r="AC722" t="str">
        <f t="shared" si="93"/>
        <v>July</v>
      </c>
      <c r="AD722">
        <f t="shared" si="94"/>
        <v>2024</v>
      </c>
      <c r="AE722" t="str">
        <f t="shared" si="95"/>
        <v>Invalid</v>
      </c>
    </row>
    <row r="723" spans="1:31">
      <c r="A723" t="s">
        <v>2242</v>
      </c>
      <c r="B723" s="3">
        <v>45827</v>
      </c>
      <c r="C723" s="3">
        <v>45831</v>
      </c>
      <c r="D723" t="s">
        <v>2243</v>
      </c>
      <c r="E723" t="s">
        <v>132</v>
      </c>
      <c r="F723" t="s">
        <v>24</v>
      </c>
      <c r="G723" t="s">
        <v>54</v>
      </c>
      <c r="H723" t="s">
        <v>175</v>
      </c>
      <c r="I723" t="s">
        <v>176</v>
      </c>
      <c r="J723" t="s">
        <v>74</v>
      </c>
      <c r="K723" t="s">
        <v>80</v>
      </c>
      <c r="L723" t="s">
        <v>2244</v>
      </c>
      <c r="M723" t="s">
        <v>50</v>
      </c>
      <c r="N723">
        <v>5</v>
      </c>
      <c r="O723">
        <v>2729.95</v>
      </c>
      <c r="P723">
        <v>0</v>
      </c>
      <c r="Q723">
        <v>13649.75</v>
      </c>
      <c r="R723">
        <v>10288.030000000001</v>
      </c>
      <c r="S723">
        <v>3361.72</v>
      </c>
      <c r="T723" t="s">
        <v>32</v>
      </c>
      <c r="U723" t="s">
        <v>33</v>
      </c>
      <c r="V723">
        <f>IF(OR(B723="Invalid Date",C723="Invalid Date"),"Invalid Date",C723-B723)</f>
        <v>4</v>
      </c>
      <c r="W723" s="4" t="str">
        <f>IF(OR(B723="Invalid Date",C723="Invalid Date"),"Invalid Date",IF(C723&lt;B723,"Invalid Shipping","OK"))</f>
        <v>OK</v>
      </c>
      <c r="X723">
        <f t="shared" si="88"/>
        <v>1</v>
      </c>
      <c r="Y723">
        <f t="shared" si="89"/>
        <v>0</v>
      </c>
      <c r="Z723">
        <f t="shared" si="90"/>
        <v>13649.75</v>
      </c>
      <c r="AA723">
        <f t="shared" si="91"/>
        <v>3361.7199999999993</v>
      </c>
      <c r="AB723" s="6">
        <f t="shared" si="92"/>
        <v>0.24628436418249414</v>
      </c>
      <c r="AC723" t="str">
        <f t="shared" si="93"/>
        <v>June</v>
      </c>
      <c r="AD723">
        <f t="shared" si="94"/>
        <v>2025</v>
      </c>
      <c r="AE723" t="str">
        <f t="shared" si="95"/>
        <v>Clean</v>
      </c>
    </row>
    <row r="724" spans="1:31">
      <c r="A724" t="s">
        <v>2245</v>
      </c>
      <c r="B724" s="3">
        <v>45572</v>
      </c>
      <c r="C724" s="3">
        <v>45575</v>
      </c>
      <c r="D724" t="s">
        <v>2246</v>
      </c>
      <c r="E724" t="s">
        <v>71</v>
      </c>
      <c r="F724" t="s">
        <v>24</v>
      </c>
      <c r="G724" t="s">
        <v>38</v>
      </c>
      <c r="H724" t="s">
        <v>99</v>
      </c>
      <c r="I724" t="s">
        <v>100</v>
      </c>
      <c r="J724" t="s">
        <v>41</v>
      </c>
      <c r="K724" t="s">
        <v>66</v>
      </c>
      <c r="L724" t="s">
        <v>2247</v>
      </c>
      <c r="M724" t="s">
        <v>31</v>
      </c>
      <c r="N724">
        <v>9</v>
      </c>
      <c r="O724">
        <v>481.51</v>
      </c>
      <c r="P724">
        <v>0</v>
      </c>
      <c r="Q724">
        <v>4333.59</v>
      </c>
      <c r="R724">
        <v>2533.59</v>
      </c>
      <c r="S724">
        <v>1800</v>
      </c>
      <c r="T724" t="s">
        <v>102</v>
      </c>
      <c r="U724" t="s">
        <v>68</v>
      </c>
      <c r="V724">
        <f>IF(OR(B724="Invalid Date",C724="Invalid Date"),"Invalid Date",C724-B724)</f>
        <v>3</v>
      </c>
      <c r="W724" s="4" t="str">
        <f>IF(OR(B724="Invalid Date",C724="Invalid Date"),"Invalid Date",IF(C724&lt;B724,"Invalid Shipping","OK"))</f>
        <v>OK</v>
      </c>
      <c r="X724">
        <f t="shared" si="88"/>
        <v>1</v>
      </c>
      <c r="Y724">
        <f t="shared" si="89"/>
        <v>0</v>
      </c>
      <c r="Z724">
        <f t="shared" si="90"/>
        <v>4333.59</v>
      </c>
      <c r="AA724">
        <f t="shared" si="91"/>
        <v>1800</v>
      </c>
      <c r="AB724" s="6">
        <f t="shared" si="92"/>
        <v>0.41536001329152039</v>
      </c>
      <c r="AC724" t="str">
        <f t="shared" si="93"/>
        <v>October</v>
      </c>
      <c r="AD724">
        <f t="shared" si="94"/>
        <v>2024</v>
      </c>
      <c r="AE724" t="str">
        <f t="shared" si="95"/>
        <v>Clean</v>
      </c>
    </row>
    <row r="725" spans="1:31">
      <c r="A725" t="s">
        <v>2248</v>
      </c>
      <c r="B725" s="3">
        <v>45818</v>
      </c>
      <c r="C725" s="3">
        <v>45943</v>
      </c>
      <c r="D725" t="s">
        <v>2249</v>
      </c>
      <c r="E725" t="s">
        <v>264</v>
      </c>
      <c r="F725" t="s">
        <v>95</v>
      </c>
      <c r="G725" t="s">
        <v>38</v>
      </c>
      <c r="H725" t="s">
        <v>228</v>
      </c>
      <c r="I725" t="s">
        <v>229</v>
      </c>
      <c r="J725" t="s">
        <v>74</v>
      </c>
      <c r="K725" t="s">
        <v>75</v>
      </c>
      <c r="L725" t="s">
        <v>2250</v>
      </c>
      <c r="M725" t="s">
        <v>59</v>
      </c>
      <c r="N725">
        <v>6</v>
      </c>
      <c r="O725">
        <v>2391.9299999999998</v>
      </c>
      <c r="P725">
        <v>0.05</v>
      </c>
      <c r="Q725">
        <v>13634</v>
      </c>
      <c r="R725">
        <v>9589.81</v>
      </c>
      <c r="S725">
        <v>4044.19</v>
      </c>
      <c r="T725" t="s">
        <v>155</v>
      </c>
      <c r="U725" t="s">
        <v>103</v>
      </c>
      <c r="V725">
        <f>IF(OR(B725="Invalid Date",C725="Invalid Date"),"Invalid Date",C725-B725)</f>
        <v>125</v>
      </c>
      <c r="W725" s="4" t="str">
        <f>IF(OR(B725="Invalid Date",C725="Invalid Date"),"Invalid Date",IF(C725&lt;B725,"Invalid Shipping","OK"))</f>
        <v>OK</v>
      </c>
      <c r="X725">
        <f t="shared" si="88"/>
        <v>1</v>
      </c>
      <c r="Y725">
        <f t="shared" si="89"/>
        <v>0.05</v>
      </c>
      <c r="Z725">
        <f t="shared" si="90"/>
        <v>13634.000999999998</v>
      </c>
      <c r="AA725">
        <f t="shared" si="91"/>
        <v>4044.1909999999989</v>
      </c>
      <c r="AB725" s="6">
        <f t="shared" si="92"/>
        <v>0.29662539998346776</v>
      </c>
      <c r="AC725" t="str">
        <f t="shared" si="93"/>
        <v>June</v>
      </c>
      <c r="AD725">
        <f t="shared" si="94"/>
        <v>2025</v>
      </c>
      <c r="AE725" t="str">
        <f t="shared" si="95"/>
        <v>Clean</v>
      </c>
    </row>
    <row r="726" spans="1:31">
      <c r="A726" t="s">
        <v>2251</v>
      </c>
      <c r="B726" s="3">
        <v>45567</v>
      </c>
      <c r="C726" s="3">
        <v>45338</v>
      </c>
      <c r="D726" t="s">
        <v>2252</v>
      </c>
      <c r="E726" t="s">
        <v>23</v>
      </c>
      <c r="F726" t="s">
        <v>24</v>
      </c>
      <c r="G726" t="s">
        <v>63</v>
      </c>
      <c r="H726" t="s">
        <v>190</v>
      </c>
      <c r="I726" t="s">
        <v>191</v>
      </c>
      <c r="J726" t="s">
        <v>41</v>
      </c>
      <c r="K726" t="s">
        <v>57</v>
      </c>
      <c r="L726" t="s">
        <v>2253</v>
      </c>
      <c r="M726" t="s">
        <v>31</v>
      </c>
      <c r="N726">
        <v>3</v>
      </c>
      <c r="O726">
        <v>253.43</v>
      </c>
      <c r="P726">
        <v>0</v>
      </c>
      <c r="Q726">
        <v>760.29</v>
      </c>
      <c r="R726">
        <v>497.77</v>
      </c>
      <c r="S726">
        <v>262.52</v>
      </c>
      <c r="T726" t="s">
        <v>32</v>
      </c>
      <c r="U726" t="s">
        <v>33</v>
      </c>
      <c r="V726">
        <f>IF(OR(B726="Invalid Date",C726="Invalid Date"),"Invalid Date",C726-B726)</f>
        <v>-229</v>
      </c>
      <c r="W726" s="4" t="str">
        <f>IF(OR(B726="Invalid Date",C726="Invalid Date"),"Invalid Date",IF(C726&lt;B726,"Invalid Shipping","OK"))</f>
        <v>Invalid Shipping</v>
      </c>
      <c r="X726">
        <f t="shared" si="88"/>
        <v>1</v>
      </c>
      <c r="Y726">
        <f t="shared" si="89"/>
        <v>0</v>
      </c>
      <c r="Z726">
        <f t="shared" si="90"/>
        <v>760.29</v>
      </c>
      <c r="AA726">
        <f t="shared" si="91"/>
        <v>262.52</v>
      </c>
      <c r="AB726" s="6">
        <f t="shared" si="92"/>
        <v>0.34528929750489945</v>
      </c>
      <c r="AC726" t="str">
        <f t="shared" si="93"/>
        <v>October</v>
      </c>
      <c r="AD726">
        <f t="shared" si="94"/>
        <v>2024</v>
      </c>
      <c r="AE726" t="str">
        <f t="shared" si="95"/>
        <v>Invalid</v>
      </c>
    </row>
    <row r="727" spans="1:31">
      <c r="A727" t="s">
        <v>2254</v>
      </c>
      <c r="B727" s="3">
        <v>45787</v>
      </c>
      <c r="C727" s="3">
        <v>45942</v>
      </c>
      <c r="D727" t="s">
        <v>2255</v>
      </c>
      <c r="E727" t="s">
        <v>114</v>
      </c>
      <c r="F727" t="s">
        <v>90</v>
      </c>
      <c r="G727" t="s">
        <v>54</v>
      </c>
      <c r="H727" t="s">
        <v>175</v>
      </c>
      <c r="I727" t="s">
        <v>176</v>
      </c>
      <c r="J727" t="s">
        <v>41</v>
      </c>
      <c r="K727" t="s">
        <v>42</v>
      </c>
      <c r="L727" t="s">
        <v>2256</v>
      </c>
      <c r="M727" t="s">
        <v>31</v>
      </c>
      <c r="N727">
        <v>7</v>
      </c>
      <c r="O727">
        <v>2134.73</v>
      </c>
      <c r="P727">
        <v>0</v>
      </c>
      <c r="Q727">
        <v>14943.11</v>
      </c>
      <c r="R727">
        <v>8521.5</v>
      </c>
      <c r="S727">
        <v>6421.61</v>
      </c>
      <c r="T727" t="s">
        <v>32</v>
      </c>
      <c r="U727" t="s">
        <v>33</v>
      </c>
      <c r="V727">
        <f>IF(OR(B727="Invalid Date",C727="Invalid Date"),"Invalid Date",C727-B727)</f>
        <v>155</v>
      </c>
      <c r="W727" s="4" t="str">
        <f>IF(OR(B727="Invalid Date",C727="Invalid Date"),"Invalid Date",IF(C727&lt;B727,"Invalid Shipping","OK"))</f>
        <v>OK</v>
      </c>
      <c r="X727">
        <f t="shared" si="88"/>
        <v>1</v>
      </c>
      <c r="Y727">
        <f t="shared" si="89"/>
        <v>0</v>
      </c>
      <c r="Z727">
        <f t="shared" si="90"/>
        <v>14943.11</v>
      </c>
      <c r="AA727">
        <f t="shared" si="91"/>
        <v>6421.6100000000006</v>
      </c>
      <c r="AB727" s="6">
        <f t="shared" si="92"/>
        <v>0.42973718322357263</v>
      </c>
      <c r="AC727" t="str">
        <f t="shared" si="93"/>
        <v>May</v>
      </c>
      <c r="AD727">
        <f t="shared" si="94"/>
        <v>2025</v>
      </c>
      <c r="AE727" t="str">
        <f t="shared" si="95"/>
        <v>Clean</v>
      </c>
    </row>
    <row r="728" spans="1:31">
      <c r="A728" t="s">
        <v>2257</v>
      </c>
      <c r="B728" s="3">
        <v>45308</v>
      </c>
      <c r="C728" s="3" t="s">
        <v>2763</v>
      </c>
      <c r="D728" t="s">
        <v>2258</v>
      </c>
      <c r="E728" t="s">
        <v>264</v>
      </c>
      <c r="F728" t="s">
        <v>95</v>
      </c>
      <c r="G728" t="s">
        <v>63</v>
      </c>
      <c r="H728" t="s">
        <v>180</v>
      </c>
      <c r="I728" t="s">
        <v>181</v>
      </c>
      <c r="J728" t="s">
        <v>74</v>
      </c>
      <c r="K728" t="s">
        <v>171</v>
      </c>
      <c r="L728" t="s">
        <v>2259</v>
      </c>
      <c r="M728" t="s">
        <v>59</v>
      </c>
      <c r="N728">
        <v>5</v>
      </c>
      <c r="O728">
        <v>2018</v>
      </c>
      <c r="P728">
        <v>0.2</v>
      </c>
      <c r="Q728">
        <v>8072</v>
      </c>
      <c r="R728">
        <v>5379.22</v>
      </c>
      <c r="S728">
        <v>2692.78</v>
      </c>
      <c r="T728" t="s">
        <v>111</v>
      </c>
      <c r="U728" t="s">
        <v>103</v>
      </c>
      <c r="V728" t="str">
        <f>IF(OR(B728="Invalid Date",C728="Invalid Date"),"Invalid Date",C728-B728)</f>
        <v>Invalid Date</v>
      </c>
      <c r="W728" s="4" t="str">
        <f>IF(OR(B728="Invalid Date",C728="Invalid Date"),"Invalid Date",IF(C728&lt;B728,"Invalid Shipping","OK"))</f>
        <v>Invalid Date</v>
      </c>
      <c r="X728">
        <f t="shared" si="88"/>
        <v>1</v>
      </c>
      <c r="Y728">
        <f t="shared" si="89"/>
        <v>0.2</v>
      </c>
      <c r="Z728">
        <f t="shared" si="90"/>
        <v>8072</v>
      </c>
      <c r="AA728">
        <f t="shared" si="91"/>
        <v>2692.7799999999997</v>
      </c>
      <c r="AB728" s="6">
        <f t="shared" si="92"/>
        <v>0.33359514370664023</v>
      </c>
      <c r="AC728" t="str">
        <f t="shared" si="93"/>
        <v>January</v>
      </c>
      <c r="AD728">
        <f t="shared" si="94"/>
        <v>2024</v>
      </c>
      <c r="AE728" t="str">
        <f t="shared" si="95"/>
        <v>Invalid</v>
      </c>
    </row>
    <row r="729" spans="1:31">
      <c r="A729" t="s">
        <v>2260</v>
      </c>
      <c r="B729" s="3">
        <v>45578</v>
      </c>
      <c r="C729" s="3">
        <v>45578</v>
      </c>
      <c r="D729" t="s">
        <v>2261</v>
      </c>
      <c r="E729" t="s">
        <v>128</v>
      </c>
      <c r="F729" t="s">
        <v>37</v>
      </c>
      <c r="G729" t="s">
        <v>38</v>
      </c>
      <c r="H729" t="s">
        <v>166</v>
      </c>
      <c r="I729" t="s">
        <v>167</v>
      </c>
      <c r="J729" t="s">
        <v>74</v>
      </c>
      <c r="K729" t="s">
        <v>75</v>
      </c>
      <c r="L729" t="s">
        <v>2262</v>
      </c>
      <c r="M729" t="s">
        <v>31</v>
      </c>
      <c r="N729">
        <v>8</v>
      </c>
      <c r="O729">
        <v>3730.66</v>
      </c>
      <c r="P729">
        <v>0.05</v>
      </c>
      <c r="Q729">
        <v>28353.02</v>
      </c>
      <c r="R729">
        <v>19257.849999999999</v>
      </c>
      <c r="S729">
        <v>9095.17</v>
      </c>
      <c r="T729" t="s">
        <v>32</v>
      </c>
      <c r="U729" t="s">
        <v>33</v>
      </c>
      <c r="V729">
        <f>IF(OR(B729="Invalid Date",C729="Invalid Date"),"Invalid Date",C729-B729)</f>
        <v>0</v>
      </c>
      <c r="W729" s="4" t="str">
        <f>IF(OR(B729="Invalid Date",C729="Invalid Date"),"Invalid Date",IF(C729&lt;B729,"Invalid Shipping","OK"))</f>
        <v>OK</v>
      </c>
      <c r="X729">
        <f t="shared" si="88"/>
        <v>1</v>
      </c>
      <c r="Y729">
        <f t="shared" si="89"/>
        <v>0.05</v>
      </c>
      <c r="Z729">
        <f t="shared" si="90"/>
        <v>28353.015999999996</v>
      </c>
      <c r="AA729">
        <f t="shared" si="91"/>
        <v>9095.1659999999974</v>
      </c>
      <c r="AB729" s="6">
        <f t="shared" si="92"/>
        <v>0.3207830165228277</v>
      </c>
      <c r="AC729" t="str">
        <f t="shared" si="93"/>
        <v>October</v>
      </c>
      <c r="AD729">
        <f t="shared" si="94"/>
        <v>2024</v>
      </c>
      <c r="AE729" t="str">
        <f t="shared" si="95"/>
        <v>Clean</v>
      </c>
    </row>
    <row r="730" spans="1:31">
      <c r="A730" t="s">
        <v>2263</v>
      </c>
      <c r="B730" s="3">
        <v>45295</v>
      </c>
      <c r="C730" s="3">
        <v>45298</v>
      </c>
      <c r="D730" t="s">
        <v>2264</v>
      </c>
      <c r="E730" t="s">
        <v>132</v>
      </c>
      <c r="F730" t="s">
        <v>37</v>
      </c>
      <c r="G730" t="s">
        <v>54</v>
      </c>
      <c r="H730" t="s">
        <v>175</v>
      </c>
      <c r="I730" t="s">
        <v>176</v>
      </c>
      <c r="J730" t="s">
        <v>74</v>
      </c>
      <c r="K730" t="s">
        <v>274</v>
      </c>
      <c r="L730" t="s">
        <v>2265</v>
      </c>
      <c r="M730" t="s">
        <v>50</v>
      </c>
      <c r="N730">
        <v>1</v>
      </c>
      <c r="O730">
        <v>2363.02</v>
      </c>
      <c r="P730">
        <v>0.15</v>
      </c>
      <c r="Q730">
        <v>2008.57</v>
      </c>
      <c r="R730">
        <v>1194.83</v>
      </c>
      <c r="S730">
        <v>813.74</v>
      </c>
      <c r="T730" t="s">
        <v>32</v>
      </c>
      <c r="U730" t="s">
        <v>33</v>
      </c>
      <c r="V730">
        <f>IF(OR(B730="Invalid Date",C730="Invalid Date"),"Invalid Date",C730-B730)</f>
        <v>3</v>
      </c>
      <c r="W730" s="4" t="str">
        <f>IF(OR(B730="Invalid Date",C730="Invalid Date"),"Invalid Date",IF(C730&lt;B730,"Invalid Shipping","OK"))</f>
        <v>OK</v>
      </c>
      <c r="X730">
        <f t="shared" si="88"/>
        <v>1</v>
      </c>
      <c r="Y730">
        <f t="shared" si="89"/>
        <v>0.15</v>
      </c>
      <c r="Z730">
        <f t="shared" si="90"/>
        <v>2008.567</v>
      </c>
      <c r="AA730">
        <f t="shared" si="91"/>
        <v>813.73700000000008</v>
      </c>
      <c r="AB730" s="6">
        <f t="shared" si="92"/>
        <v>0.40513311231340554</v>
      </c>
      <c r="AC730" t="str">
        <f t="shared" si="93"/>
        <v>January</v>
      </c>
      <c r="AD730">
        <f t="shared" si="94"/>
        <v>2024</v>
      </c>
      <c r="AE730" t="str">
        <f t="shared" si="95"/>
        <v>Clean</v>
      </c>
    </row>
    <row r="731" spans="1:31">
      <c r="A731" t="s">
        <v>2266</v>
      </c>
      <c r="B731" s="3">
        <v>45794</v>
      </c>
      <c r="C731" s="3">
        <v>45802</v>
      </c>
      <c r="D731" t="s">
        <v>2267</v>
      </c>
      <c r="E731" t="s">
        <v>62</v>
      </c>
      <c r="F731" t="s">
        <v>90</v>
      </c>
      <c r="G731" t="s">
        <v>54</v>
      </c>
      <c r="H731" t="s">
        <v>247</v>
      </c>
      <c r="I731" t="s">
        <v>248</v>
      </c>
      <c r="J731" t="s">
        <v>74</v>
      </c>
      <c r="K731" t="s">
        <v>274</v>
      </c>
      <c r="L731" t="s">
        <v>2268</v>
      </c>
      <c r="M731" t="s">
        <v>44</v>
      </c>
      <c r="N731">
        <v>6</v>
      </c>
      <c r="O731">
        <v>1810.63</v>
      </c>
      <c r="P731">
        <v>0.15</v>
      </c>
      <c r="Q731">
        <v>9234.2099999999991</v>
      </c>
      <c r="R731">
        <v>5516.52</v>
      </c>
      <c r="S731">
        <v>3717.69</v>
      </c>
      <c r="T731" t="s">
        <v>32</v>
      </c>
      <c r="U731" t="s">
        <v>33</v>
      </c>
      <c r="V731">
        <f>IF(OR(B731="Invalid Date",C731="Invalid Date"),"Invalid Date",C731-B731)</f>
        <v>8</v>
      </c>
      <c r="W731" s="4" t="str">
        <f>IF(OR(B731="Invalid Date",C731="Invalid Date"),"Invalid Date",IF(C731&lt;B731,"Invalid Shipping","OK"))</f>
        <v>OK</v>
      </c>
      <c r="X731">
        <f t="shared" si="88"/>
        <v>1</v>
      </c>
      <c r="Y731">
        <f t="shared" si="89"/>
        <v>0.15</v>
      </c>
      <c r="Z731">
        <f t="shared" si="90"/>
        <v>9234.2129999999997</v>
      </c>
      <c r="AA731">
        <f t="shared" si="91"/>
        <v>3717.6929999999993</v>
      </c>
      <c r="AB731" s="6">
        <f t="shared" si="92"/>
        <v>0.40259987505161504</v>
      </c>
      <c r="AC731" t="str">
        <f t="shared" si="93"/>
        <v>May</v>
      </c>
      <c r="AD731">
        <f t="shared" si="94"/>
        <v>2025</v>
      </c>
      <c r="AE731" t="str">
        <f t="shared" si="95"/>
        <v>Clean</v>
      </c>
    </row>
    <row r="732" spans="1:31">
      <c r="A732" t="s">
        <v>2269</v>
      </c>
      <c r="B732" s="3" t="s">
        <v>2763</v>
      </c>
      <c r="C732" s="3">
        <v>45832</v>
      </c>
      <c r="D732" t="s">
        <v>2270</v>
      </c>
      <c r="E732" t="s">
        <v>53</v>
      </c>
      <c r="F732" t="s">
        <v>24</v>
      </c>
      <c r="G732" t="s">
        <v>38</v>
      </c>
      <c r="H732" t="s">
        <v>99</v>
      </c>
      <c r="I732" t="s">
        <v>100</v>
      </c>
      <c r="J732" t="s">
        <v>28</v>
      </c>
      <c r="K732" t="s">
        <v>48</v>
      </c>
      <c r="L732" t="s">
        <v>2271</v>
      </c>
      <c r="M732" t="s">
        <v>31</v>
      </c>
      <c r="N732">
        <v>4</v>
      </c>
      <c r="O732">
        <v>782.01</v>
      </c>
      <c r="P732">
        <v>0.15</v>
      </c>
      <c r="Q732">
        <v>2658.83</v>
      </c>
      <c r="R732">
        <v>2226.9699999999998</v>
      </c>
      <c r="S732">
        <v>431.86</v>
      </c>
      <c r="T732" t="s">
        <v>102</v>
      </c>
      <c r="U732" t="s">
        <v>103</v>
      </c>
      <c r="V732" t="str">
        <f>IF(OR(B732="Invalid Date",C732="Invalid Date"),"Invalid Date",C732-B732)</f>
        <v>Invalid Date</v>
      </c>
      <c r="W732" s="4" t="str">
        <f>IF(OR(B732="Invalid Date",C732="Invalid Date"),"Invalid Date",IF(C732&lt;B732,"Invalid Shipping","OK"))</f>
        <v>Invalid Date</v>
      </c>
      <c r="X732">
        <f t="shared" si="88"/>
        <v>1</v>
      </c>
      <c r="Y732">
        <f t="shared" si="89"/>
        <v>0.15</v>
      </c>
      <c r="Z732">
        <f t="shared" si="90"/>
        <v>2658.8339999999998</v>
      </c>
      <c r="AA732">
        <f t="shared" si="91"/>
        <v>431.86400000000003</v>
      </c>
      <c r="AB732" s="6">
        <f t="shared" si="92"/>
        <v>0.16242608602116568</v>
      </c>
      <c r="AC732" t="str">
        <f t="shared" si="93"/>
        <v/>
      </c>
      <c r="AD732" t="str">
        <f t="shared" si="94"/>
        <v/>
      </c>
      <c r="AE732" t="str">
        <f t="shared" si="95"/>
        <v>Invalid</v>
      </c>
    </row>
    <row r="733" spans="1:31">
      <c r="A733" t="s">
        <v>2272</v>
      </c>
      <c r="B733" s="3">
        <v>45368</v>
      </c>
      <c r="C733" s="3">
        <v>45370</v>
      </c>
      <c r="D733" t="s">
        <v>2273</v>
      </c>
      <c r="E733" t="s">
        <v>62</v>
      </c>
      <c r="F733" t="s">
        <v>90</v>
      </c>
      <c r="G733" t="s">
        <v>38</v>
      </c>
      <c r="H733" t="s">
        <v>39</v>
      </c>
      <c r="I733" t="s">
        <v>40</v>
      </c>
      <c r="J733" t="s">
        <v>28</v>
      </c>
      <c r="K733" t="s">
        <v>153</v>
      </c>
      <c r="L733" t="s">
        <v>2274</v>
      </c>
      <c r="M733" t="s">
        <v>50</v>
      </c>
      <c r="N733">
        <v>4</v>
      </c>
      <c r="O733">
        <v>4376.68</v>
      </c>
      <c r="P733">
        <v>0.1</v>
      </c>
      <c r="Q733">
        <v>15756.05</v>
      </c>
      <c r="R733">
        <v>10245.44</v>
      </c>
      <c r="S733">
        <v>5510.61</v>
      </c>
      <c r="T733" t="s">
        <v>32</v>
      </c>
      <c r="U733" t="s">
        <v>33</v>
      </c>
      <c r="V733">
        <f>IF(OR(B733="Invalid Date",C733="Invalid Date"),"Invalid Date",C733-B733)</f>
        <v>2</v>
      </c>
      <c r="W733" s="4" t="str">
        <f>IF(OR(B733="Invalid Date",C733="Invalid Date"),"Invalid Date",IF(C733&lt;B733,"Invalid Shipping","OK"))</f>
        <v>OK</v>
      </c>
      <c r="X733">
        <f t="shared" si="88"/>
        <v>1</v>
      </c>
      <c r="Y733">
        <f t="shared" si="89"/>
        <v>0.1</v>
      </c>
      <c r="Z733">
        <f t="shared" si="90"/>
        <v>15756.048000000001</v>
      </c>
      <c r="AA733">
        <f t="shared" si="91"/>
        <v>5510.6080000000002</v>
      </c>
      <c r="AB733" s="6">
        <f t="shared" si="92"/>
        <v>0.3497455707167178</v>
      </c>
      <c r="AC733" t="str">
        <f t="shared" si="93"/>
        <v>March</v>
      </c>
      <c r="AD733">
        <f t="shared" si="94"/>
        <v>2024</v>
      </c>
      <c r="AE733" t="str">
        <f t="shared" si="95"/>
        <v>Clean</v>
      </c>
    </row>
    <row r="734" spans="1:31">
      <c r="A734" t="s">
        <v>2275</v>
      </c>
      <c r="B734" s="3">
        <v>45624</v>
      </c>
      <c r="C734" s="3">
        <v>45632</v>
      </c>
      <c r="D734" t="s">
        <v>2276</v>
      </c>
      <c r="E734" t="s">
        <v>53</v>
      </c>
      <c r="F734" t="s">
        <v>37</v>
      </c>
      <c r="G734" t="s">
        <v>25</v>
      </c>
      <c r="H734" t="s">
        <v>122</v>
      </c>
      <c r="I734" t="s">
        <v>123</v>
      </c>
      <c r="J734" t="s">
        <v>74</v>
      </c>
      <c r="K734" t="s">
        <v>171</v>
      </c>
      <c r="L734" t="s">
        <v>2277</v>
      </c>
      <c r="M734" t="s">
        <v>59</v>
      </c>
      <c r="N734">
        <v>6</v>
      </c>
      <c r="O734">
        <v>2464.63</v>
      </c>
      <c r="P734">
        <v>0</v>
      </c>
      <c r="Q734">
        <v>14787.78</v>
      </c>
      <c r="R734">
        <v>8596.65</v>
      </c>
      <c r="S734">
        <v>6191.13</v>
      </c>
      <c r="T734" t="s">
        <v>32</v>
      </c>
      <c r="U734" t="s">
        <v>33</v>
      </c>
      <c r="V734">
        <f>IF(OR(B734="Invalid Date",C734="Invalid Date"),"Invalid Date",C734-B734)</f>
        <v>8</v>
      </c>
      <c r="W734" s="4" t="str">
        <f>IF(OR(B734="Invalid Date",C734="Invalid Date"),"Invalid Date",IF(C734&lt;B734,"Invalid Shipping","OK"))</f>
        <v>OK</v>
      </c>
      <c r="X734">
        <f t="shared" si="88"/>
        <v>1</v>
      </c>
      <c r="Y734">
        <f t="shared" si="89"/>
        <v>0</v>
      </c>
      <c r="Z734">
        <f t="shared" si="90"/>
        <v>14787.78</v>
      </c>
      <c r="AA734">
        <f t="shared" si="91"/>
        <v>6191.130000000001</v>
      </c>
      <c r="AB734" s="6">
        <f t="shared" si="92"/>
        <v>0.41866527632950995</v>
      </c>
      <c r="AC734" t="str">
        <f t="shared" si="93"/>
        <v>November</v>
      </c>
      <c r="AD734">
        <f t="shared" si="94"/>
        <v>2024</v>
      </c>
      <c r="AE734" t="str">
        <f t="shared" si="95"/>
        <v>Clean</v>
      </c>
    </row>
    <row r="735" spans="1:31">
      <c r="A735" t="s">
        <v>2278</v>
      </c>
      <c r="B735" s="3">
        <v>45464</v>
      </c>
      <c r="C735" s="3">
        <v>45471</v>
      </c>
      <c r="D735" t="s">
        <v>2279</v>
      </c>
      <c r="E735" t="s">
        <v>128</v>
      </c>
      <c r="F735" t="s">
        <v>95</v>
      </c>
      <c r="G735" t="s">
        <v>25</v>
      </c>
      <c r="H735" t="s">
        <v>26</v>
      </c>
      <c r="I735" t="s">
        <v>27</v>
      </c>
      <c r="J735" t="s">
        <v>41</v>
      </c>
      <c r="K735" t="s">
        <v>57</v>
      </c>
      <c r="L735" t="s">
        <v>2280</v>
      </c>
      <c r="M735" t="s">
        <v>50</v>
      </c>
      <c r="N735">
        <v>9</v>
      </c>
      <c r="O735">
        <v>2797.96</v>
      </c>
      <c r="P735">
        <v>0</v>
      </c>
      <c r="Q735">
        <v>25181.64</v>
      </c>
      <c r="R735">
        <v>15337.9</v>
      </c>
      <c r="S735">
        <v>9843.74</v>
      </c>
      <c r="T735" t="s">
        <v>32</v>
      </c>
      <c r="U735" t="s">
        <v>33</v>
      </c>
      <c r="V735">
        <f>IF(OR(B735="Invalid Date",C735="Invalid Date"),"Invalid Date",C735-B735)</f>
        <v>7</v>
      </c>
      <c r="W735" s="4" t="str">
        <f>IF(OR(B735="Invalid Date",C735="Invalid Date"),"Invalid Date",IF(C735&lt;B735,"Invalid Shipping","OK"))</f>
        <v>OK</v>
      </c>
      <c r="X735">
        <f t="shared" si="88"/>
        <v>1</v>
      </c>
      <c r="Y735">
        <f t="shared" si="89"/>
        <v>0</v>
      </c>
      <c r="Z735">
        <f t="shared" si="90"/>
        <v>25181.64</v>
      </c>
      <c r="AA735">
        <f t="shared" si="91"/>
        <v>9843.74</v>
      </c>
      <c r="AB735" s="6">
        <f t="shared" si="92"/>
        <v>0.39090940860086953</v>
      </c>
      <c r="AC735" t="str">
        <f t="shared" si="93"/>
        <v>June</v>
      </c>
      <c r="AD735">
        <f t="shared" si="94"/>
        <v>2024</v>
      </c>
      <c r="AE735" t="str">
        <f t="shared" si="95"/>
        <v>Clean</v>
      </c>
    </row>
    <row r="736" spans="1:31">
      <c r="A736" t="s">
        <v>2281</v>
      </c>
      <c r="B736" s="3">
        <v>45528</v>
      </c>
      <c r="C736" s="3">
        <v>45528</v>
      </c>
      <c r="D736" t="s">
        <v>2282</v>
      </c>
      <c r="E736" t="s">
        <v>62</v>
      </c>
      <c r="F736" t="s">
        <v>37</v>
      </c>
      <c r="G736" t="s">
        <v>25</v>
      </c>
      <c r="H736" t="s">
        <v>26</v>
      </c>
      <c r="I736" t="s">
        <v>27</v>
      </c>
      <c r="J736" t="s">
        <v>74</v>
      </c>
      <c r="K736" t="s">
        <v>75</v>
      </c>
      <c r="L736" t="s">
        <v>2283</v>
      </c>
      <c r="M736" t="s">
        <v>50</v>
      </c>
      <c r="N736">
        <v>4</v>
      </c>
      <c r="O736">
        <v>2761.86</v>
      </c>
      <c r="P736">
        <v>0.2</v>
      </c>
      <c r="Q736">
        <v>8837.9500000000007</v>
      </c>
      <c r="R736">
        <v>6157.27</v>
      </c>
      <c r="S736">
        <v>2680.68</v>
      </c>
      <c r="T736" t="s">
        <v>32</v>
      </c>
      <c r="U736" t="s">
        <v>33</v>
      </c>
      <c r="V736">
        <f>IF(OR(B736="Invalid Date",C736="Invalid Date"),"Invalid Date",C736-B736)</f>
        <v>0</v>
      </c>
      <c r="W736" s="4" t="str">
        <f>IF(OR(B736="Invalid Date",C736="Invalid Date"),"Invalid Date",IF(C736&lt;B736,"Invalid Shipping","OK"))</f>
        <v>OK</v>
      </c>
      <c r="X736">
        <f t="shared" si="88"/>
        <v>1</v>
      </c>
      <c r="Y736">
        <f t="shared" si="89"/>
        <v>0.2</v>
      </c>
      <c r="Z736">
        <f t="shared" si="90"/>
        <v>8837.9520000000011</v>
      </c>
      <c r="AA736">
        <f t="shared" si="91"/>
        <v>2680.6820000000007</v>
      </c>
      <c r="AB736" s="6">
        <f t="shared" si="92"/>
        <v>0.30331484036120587</v>
      </c>
      <c r="AC736" t="str">
        <f t="shared" si="93"/>
        <v>August</v>
      </c>
      <c r="AD736">
        <f t="shared" si="94"/>
        <v>2024</v>
      </c>
      <c r="AE736" t="str">
        <f t="shared" si="95"/>
        <v>Clean</v>
      </c>
    </row>
    <row r="737" spans="1:31">
      <c r="A737" t="s">
        <v>2284</v>
      </c>
      <c r="B737" s="3">
        <v>45515</v>
      </c>
      <c r="C737" s="3">
        <v>45523</v>
      </c>
      <c r="D737" t="s">
        <v>2285</v>
      </c>
      <c r="E737" t="s">
        <v>36</v>
      </c>
      <c r="F737" t="s">
        <v>24</v>
      </c>
      <c r="G737" t="s">
        <v>63</v>
      </c>
      <c r="H737" t="s">
        <v>64</v>
      </c>
      <c r="I737" t="s">
        <v>65</v>
      </c>
      <c r="J737" t="s">
        <v>41</v>
      </c>
      <c r="K737" t="s">
        <v>42</v>
      </c>
      <c r="L737" t="s">
        <v>2286</v>
      </c>
      <c r="M737" t="s">
        <v>59</v>
      </c>
      <c r="N737">
        <v>6</v>
      </c>
      <c r="O737">
        <v>1515.79</v>
      </c>
      <c r="P737">
        <v>0.2</v>
      </c>
      <c r="Q737">
        <v>7275.79</v>
      </c>
      <c r="R737">
        <v>6152.87</v>
      </c>
      <c r="S737">
        <v>1122.92</v>
      </c>
      <c r="T737" t="s">
        <v>32</v>
      </c>
      <c r="U737" t="s">
        <v>33</v>
      </c>
      <c r="V737">
        <f>IF(OR(B737="Invalid Date",C737="Invalid Date"),"Invalid Date",C737-B737)</f>
        <v>8</v>
      </c>
      <c r="W737" s="4" t="str">
        <f>IF(OR(B737="Invalid Date",C737="Invalid Date"),"Invalid Date",IF(C737&lt;B737,"Invalid Shipping","OK"))</f>
        <v>OK</v>
      </c>
      <c r="X737">
        <f t="shared" si="88"/>
        <v>1</v>
      </c>
      <c r="Y737">
        <f t="shared" si="89"/>
        <v>0.2</v>
      </c>
      <c r="Z737">
        <f t="shared" si="90"/>
        <v>7275.7920000000004</v>
      </c>
      <c r="AA737">
        <f t="shared" si="91"/>
        <v>1122.9220000000005</v>
      </c>
      <c r="AB737" s="6">
        <f t="shared" si="92"/>
        <v>0.15433673749881804</v>
      </c>
      <c r="AC737" t="str">
        <f t="shared" si="93"/>
        <v>August</v>
      </c>
      <c r="AD737">
        <f t="shared" si="94"/>
        <v>2024</v>
      </c>
      <c r="AE737" t="str">
        <f t="shared" si="95"/>
        <v>Clean</v>
      </c>
    </row>
    <row r="738" spans="1:31">
      <c r="A738" t="s">
        <v>2287</v>
      </c>
      <c r="B738" s="3">
        <v>45632</v>
      </c>
      <c r="C738" s="3">
        <v>45635</v>
      </c>
      <c r="D738" t="s">
        <v>2288</v>
      </c>
      <c r="E738" t="s">
        <v>89</v>
      </c>
      <c r="F738" t="s">
        <v>24</v>
      </c>
      <c r="G738" t="s">
        <v>63</v>
      </c>
      <c r="H738" t="s">
        <v>64</v>
      </c>
      <c r="I738" t="s">
        <v>65</v>
      </c>
      <c r="J738" t="s">
        <v>41</v>
      </c>
      <c r="K738" t="s">
        <v>66</v>
      </c>
      <c r="L738" t="s">
        <v>2289</v>
      </c>
      <c r="M738" t="s">
        <v>31</v>
      </c>
      <c r="N738">
        <v>9</v>
      </c>
      <c r="O738">
        <v>290.75</v>
      </c>
      <c r="P738">
        <v>0.1</v>
      </c>
      <c r="Q738">
        <v>2355.08</v>
      </c>
      <c r="R738">
        <v>1350.03</v>
      </c>
      <c r="S738">
        <v>1005.05</v>
      </c>
      <c r="T738" t="s">
        <v>32</v>
      </c>
      <c r="U738" t="s">
        <v>33</v>
      </c>
      <c r="V738">
        <f>IF(OR(B738="Invalid Date",C738="Invalid Date"),"Invalid Date",C738-B738)</f>
        <v>3</v>
      </c>
      <c r="W738" s="4" t="str">
        <f>IF(OR(B738="Invalid Date",C738="Invalid Date"),"Invalid Date",IF(C738&lt;B738,"Invalid Shipping","OK"))</f>
        <v>OK</v>
      </c>
      <c r="X738">
        <f t="shared" si="88"/>
        <v>1</v>
      </c>
      <c r="Y738">
        <f t="shared" si="89"/>
        <v>0.1</v>
      </c>
      <c r="Z738">
        <f t="shared" si="90"/>
        <v>2355.0750000000003</v>
      </c>
      <c r="AA738">
        <f t="shared" si="91"/>
        <v>1005.0450000000003</v>
      </c>
      <c r="AB738" s="6">
        <f t="shared" si="92"/>
        <v>0.42675710964618968</v>
      </c>
      <c r="AC738" t="str">
        <f t="shared" si="93"/>
        <v>December</v>
      </c>
      <c r="AD738">
        <f t="shared" si="94"/>
        <v>2024</v>
      </c>
      <c r="AE738" t="str">
        <f t="shared" si="95"/>
        <v>Clean</v>
      </c>
    </row>
    <row r="739" spans="1:31">
      <c r="A739" t="s">
        <v>2290</v>
      </c>
      <c r="B739" s="3">
        <v>45332</v>
      </c>
      <c r="C739" s="3">
        <v>45332</v>
      </c>
      <c r="D739" t="s">
        <v>2291</v>
      </c>
      <c r="E739" t="s">
        <v>47</v>
      </c>
      <c r="F739" t="s">
        <v>95</v>
      </c>
      <c r="G739" t="s">
        <v>63</v>
      </c>
      <c r="H739" t="s">
        <v>64</v>
      </c>
      <c r="I739" t="s">
        <v>65</v>
      </c>
      <c r="J739" t="s">
        <v>41</v>
      </c>
      <c r="K739" t="s">
        <v>66</v>
      </c>
      <c r="L739" t="s">
        <v>2292</v>
      </c>
      <c r="M739" t="s">
        <v>44</v>
      </c>
      <c r="N739">
        <v>6</v>
      </c>
      <c r="O739">
        <v>601.52</v>
      </c>
      <c r="P739">
        <v>0</v>
      </c>
      <c r="Q739">
        <v>3609.12</v>
      </c>
      <c r="R739">
        <v>2645.5</v>
      </c>
      <c r="S739">
        <v>963.62</v>
      </c>
      <c r="T739" t="s">
        <v>32</v>
      </c>
      <c r="U739" t="s">
        <v>33</v>
      </c>
      <c r="V739">
        <f>IF(OR(B739="Invalid Date",C739="Invalid Date"),"Invalid Date",C739-B739)</f>
        <v>0</v>
      </c>
      <c r="W739" s="4" t="str">
        <f>IF(OR(B739="Invalid Date",C739="Invalid Date"),"Invalid Date",IF(C739&lt;B739,"Invalid Shipping","OK"))</f>
        <v>OK</v>
      </c>
      <c r="X739">
        <f t="shared" si="88"/>
        <v>1</v>
      </c>
      <c r="Y739">
        <f t="shared" si="89"/>
        <v>0</v>
      </c>
      <c r="Z739">
        <f t="shared" si="90"/>
        <v>3609.12</v>
      </c>
      <c r="AA739">
        <f t="shared" si="91"/>
        <v>963.61999999999989</v>
      </c>
      <c r="AB739" s="6">
        <f t="shared" si="92"/>
        <v>0.2669958327791816</v>
      </c>
      <c r="AC739" t="str">
        <f t="shared" si="93"/>
        <v>February</v>
      </c>
      <c r="AD739">
        <f t="shared" si="94"/>
        <v>2024</v>
      </c>
      <c r="AE739" t="str">
        <f t="shared" si="95"/>
        <v>Clean</v>
      </c>
    </row>
    <row r="740" spans="1:31">
      <c r="A740" t="s">
        <v>2293</v>
      </c>
      <c r="B740" s="3">
        <v>45708</v>
      </c>
      <c r="C740" s="3" t="s">
        <v>2763</v>
      </c>
      <c r="D740" t="s">
        <v>2294</v>
      </c>
      <c r="E740" t="s">
        <v>114</v>
      </c>
      <c r="F740" t="s">
        <v>90</v>
      </c>
      <c r="G740" t="s">
        <v>54</v>
      </c>
      <c r="H740" t="s">
        <v>185</v>
      </c>
      <c r="I740" t="s">
        <v>186</v>
      </c>
      <c r="J740" t="s">
        <v>28</v>
      </c>
      <c r="K740" t="s">
        <v>29</v>
      </c>
      <c r="L740" t="s">
        <v>2295</v>
      </c>
      <c r="M740" t="s">
        <v>50</v>
      </c>
      <c r="N740">
        <v>1</v>
      </c>
      <c r="O740">
        <v>2188.19</v>
      </c>
      <c r="P740">
        <v>0</v>
      </c>
      <c r="Q740">
        <v>2188.19</v>
      </c>
      <c r="R740">
        <v>1298.8399999999999</v>
      </c>
      <c r="S740">
        <v>889.35</v>
      </c>
      <c r="T740" t="s">
        <v>32</v>
      </c>
      <c r="U740" t="s">
        <v>33</v>
      </c>
      <c r="V740" t="str">
        <f>IF(OR(B740="Invalid Date",C740="Invalid Date"),"Invalid Date",C740-B740)</f>
        <v>Invalid Date</v>
      </c>
      <c r="W740" s="4" t="str">
        <f>IF(OR(B740="Invalid Date",C740="Invalid Date"),"Invalid Date",IF(C740&lt;B740,"Invalid Shipping","OK"))</f>
        <v>Invalid Date</v>
      </c>
      <c r="X740">
        <f t="shared" si="88"/>
        <v>1</v>
      </c>
      <c r="Y740">
        <f t="shared" si="89"/>
        <v>0</v>
      </c>
      <c r="Z740">
        <f t="shared" si="90"/>
        <v>2188.19</v>
      </c>
      <c r="AA740">
        <f t="shared" si="91"/>
        <v>889.35000000000014</v>
      </c>
      <c r="AB740" s="6">
        <f t="shared" si="92"/>
        <v>0.40643179979800664</v>
      </c>
      <c r="AC740" t="str">
        <f t="shared" si="93"/>
        <v>February</v>
      </c>
      <c r="AD740">
        <f t="shared" si="94"/>
        <v>2025</v>
      </c>
      <c r="AE740" t="str">
        <f t="shared" si="95"/>
        <v>Invalid</v>
      </c>
    </row>
    <row r="741" spans="1:31">
      <c r="A741" t="s">
        <v>2296</v>
      </c>
      <c r="B741" s="3">
        <v>45629</v>
      </c>
      <c r="C741" s="3">
        <v>45577</v>
      </c>
      <c r="D741" t="s">
        <v>2297</v>
      </c>
      <c r="E741" t="s">
        <v>79</v>
      </c>
      <c r="F741" t="s">
        <v>90</v>
      </c>
      <c r="G741" t="s">
        <v>25</v>
      </c>
      <c r="H741" t="s">
        <v>26</v>
      </c>
      <c r="I741" t="s">
        <v>27</v>
      </c>
      <c r="J741" t="s">
        <v>74</v>
      </c>
      <c r="K741" t="s">
        <v>171</v>
      </c>
      <c r="L741" t="s">
        <v>2298</v>
      </c>
      <c r="M741" t="s">
        <v>59</v>
      </c>
      <c r="N741">
        <v>5</v>
      </c>
      <c r="O741">
        <v>2393.86</v>
      </c>
      <c r="P741">
        <v>0.05</v>
      </c>
      <c r="Q741">
        <v>11370.84</v>
      </c>
      <c r="R741">
        <v>7469.58</v>
      </c>
      <c r="S741">
        <v>3901.26</v>
      </c>
      <c r="T741" t="s">
        <v>32</v>
      </c>
      <c r="U741" t="s">
        <v>33</v>
      </c>
      <c r="V741">
        <f>IF(OR(B741="Invalid Date",C741="Invalid Date"),"Invalid Date",C741-B741)</f>
        <v>-52</v>
      </c>
      <c r="W741" s="4" t="str">
        <f>IF(OR(B741="Invalid Date",C741="Invalid Date"),"Invalid Date",IF(C741&lt;B741,"Invalid Shipping","OK"))</f>
        <v>Invalid Shipping</v>
      </c>
      <c r="X741">
        <f t="shared" si="88"/>
        <v>1</v>
      </c>
      <c r="Y741">
        <f t="shared" si="89"/>
        <v>0.05</v>
      </c>
      <c r="Z741">
        <f t="shared" si="90"/>
        <v>11370.835000000001</v>
      </c>
      <c r="AA741">
        <f t="shared" si="91"/>
        <v>3901.255000000001</v>
      </c>
      <c r="AB741" s="6">
        <f t="shared" si="92"/>
        <v>0.34309309738466881</v>
      </c>
      <c r="AC741" t="str">
        <f t="shared" si="93"/>
        <v>December</v>
      </c>
      <c r="AD741">
        <f t="shared" si="94"/>
        <v>2024</v>
      </c>
      <c r="AE741" t="str">
        <f t="shared" si="95"/>
        <v>Invalid</v>
      </c>
    </row>
    <row r="742" spans="1:31">
      <c r="A742" t="s">
        <v>2299</v>
      </c>
      <c r="B742" s="3">
        <v>45384</v>
      </c>
      <c r="C742" s="3">
        <v>45326</v>
      </c>
      <c r="D742" t="s">
        <v>522</v>
      </c>
      <c r="E742" t="s">
        <v>132</v>
      </c>
      <c r="F742" t="s">
        <v>37</v>
      </c>
      <c r="G742" t="s">
        <v>63</v>
      </c>
      <c r="H742" t="s">
        <v>64</v>
      </c>
      <c r="I742" t="s">
        <v>65</v>
      </c>
      <c r="J742" t="s">
        <v>41</v>
      </c>
      <c r="K742" t="s">
        <v>66</v>
      </c>
      <c r="L742" t="s">
        <v>2300</v>
      </c>
      <c r="M742" t="s">
        <v>50</v>
      </c>
      <c r="N742">
        <v>4</v>
      </c>
      <c r="O742">
        <v>2583</v>
      </c>
      <c r="P742">
        <v>0.1</v>
      </c>
      <c r="Q742">
        <v>9298.7999999999993</v>
      </c>
      <c r="R742">
        <v>6548.5</v>
      </c>
      <c r="S742">
        <v>2750.3</v>
      </c>
      <c r="T742" t="s">
        <v>32</v>
      </c>
      <c r="U742" t="s">
        <v>33</v>
      </c>
      <c r="V742">
        <f>IF(OR(B742="Invalid Date",C742="Invalid Date"),"Invalid Date",C742-B742)</f>
        <v>-58</v>
      </c>
      <c r="W742" s="4" t="str">
        <f>IF(OR(B742="Invalid Date",C742="Invalid Date"),"Invalid Date",IF(C742&lt;B742,"Invalid Shipping","OK"))</f>
        <v>Invalid Shipping</v>
      </c>
      <c r="X742">
        <f t="shared" si="88"/>
        <v>1</v>
      </c>
      <c r="Y742">
        <f t="shared" si="89"/>
        <v>0.1</v>
      </c>
      <c r="Z742">
        <f t="shared" si="90"/>
        <v>9298.8000000000011</v>
      </c>
      <c r="AA742">
        <f t="shared" si="91"/>
        <v>2750.3000000000011</v>
      </c>
      <c r="AB742" s="6">
        <f t="shared" si="92"/>
        <v>0.29576934658235482</v>
      </c>
      <c r="AC742" t="str">
        <f t="shared" si="93"/>
        <v>April</v>
      </c>
      <c r="AD742">
        <f t="shared" si="94"/>
        <v>2024</v>
      </c>
      <c r="AE742" t="str">
        <f t="shared" si="95"/>
        <v>Invalid</v>
      </c>
    </row>
    <row r="743" spans="1:31">
      <c r="A743" t="s">
        <v>2301</v>
      </c>
      <c r="B743" s="3" t="s">
        <v>2763</v>
      </c>
      <c r="C743" s="3">
        <v>45772</v>
      </c>
      <c r="D743" t="s">
        <v>2302</v>
      </c>
      <c r="E743" t="s">
        <v>47</v>
      </c>
      <c r="F743" t="s">
        <v>95</v>
      </c>
      <c r="G743" t="s">
        <v>54</v>
      </c>
      <c r="H743" t="s">
        <v>247</v>
      </c>
      <c r="I743" t="s">
        <v>248</v>
      </c>
      <c r="J743" t="s">
        <v>41</v>
      </c>
      <c r="K743" t="s">
        <v>66</v>
      </c>
      <c r="L743" t="s">
        <v>2303</v>
      </c>
      <c r="M743" t="s">
        <v>31</v>
      </c>
      <c r="N743">
        <v>3</v>
      </c>
      <c r="O743">
        <v>2951.12</v>
      </c>
      <c r="P743">
        <v>0</v>
      </c>
      <c r="Q743">
        <v>7082.69</v>
      </c>
      <c r="R743">
        <v>5596.34</v>
      </c>
      <c r="S743">
        <v>1486.35</v>
      </c>
      <c r="T743" t="s">
        <v>32</v>
      </c>
      <c r="U743" t="s">
        <v>68</v>
      </c>
      <c r="V743" t="str">
        <f>IF(OR(B743="Invalid Date",C743="Invalid Date"),"Invalid Date",C743-B743)</f>
        <v>Invalid Date</v>
      </c>
      <c r="W743" s="4" t="str">
        <f>IF(OR(B743="Invalid Date",C743="Invalid Date"),"Invalid Date",IF(C743&lt;B743,"Invalid Shipping","OK"))</f>
        <v>Invalid Date</v>
      </c>
      <c r="X743">
        <f t="shared" si="88"/>
        <v>1</v>
      </c>
      <c r="Y743">
        <f t="shared" si="89"/>
        <v>0</v>
      </c>
      <c r="Z743">
        <f t="shared" si="90"/>
        <v>8853.36</v>
      </c>
      <c r="AA743">
        <f t="shared" si="91"/>
        <v>3257.0200000000004</v>
      </c>
      <c r="AB743" s="6">
        <f t="shared" si="92"/>
        <v>0.36788518709280998</v>
      </c>
      <c r="AC743" t="str">
        <f t="shared" si="93"/>
        <v/>
      </c>
      <c r="AD743" t="str">
        <f t="shared" si="94"/>
        <v/>
      </c>
      <c r="AE743" t="str">
        <f t="shared" si="95"/>
        <v>Invalid</v>
      </c>
    </row>
    <row r="744" spans="1:31">
      <c r="A744" t="s">
        <v>2304</v>
      </c>
      <c r="B744" s="3" t="s">
        <v>2763</v>
      </c>
      <c r="C744" s="3">
        <v>45587</v>
      </c>
      <c r="D744" t="s">
        <v>2305</v>
      </c>
      <c r="E744" t="s">
        <v>23</v>
      </c>
      <c r="F744" t="s">
        <v>90</v>
      </c>
      <c r="G744" t="s">
        <v>38</v>
      </c>
      <c r="H744" t="s">
        <v>39</v>
      </c>
      <c r="I744" t="s">
        <v>40</v>
      </c>
      <c r="J744" t="s">
        <v>28</v>
      </c>
      <c r="K744" t="s">
        <v>29</v>
      </c>
      <c r="L744" t="s">
        <v>2306</v>
      </c>
      <c r="M744" t="s">
        <v>59</v>
      </c>
      <c r="N744">
        <v>4</v>
      </c>
      <c r="O744">
        <v>2260.9499999999998</v>
      </c>
      <c r="P744">
        <v>0</v>
      </c>
      <c r="Q744">
        <v>9043.7999999999993</v>
      </c>
      <c r="R744">
        <v>5913.38</v>
      </c>
      <c r="S744">
        <v>3130.42</v>
      </c>
      <c r="T744" t="s">
        <v>32</v>
      </c>
      <c r="U744" t="s">
        <v>33</v>
      </c>
      <c r="V744" t="str">
        <f>IF(OR(B744="Invalid Date",C744="Invalid Date"),"Invalid Date",C744-B744)</f>
        <v>Invalid Date</v>
      </c>
      <c r="W744" s="4" t="str">
        <f>IF(OR(B744="Invalid Date",C744="Invalid Date"),"Invalid Date",IF(C744&lt;B744,"Invalid Shipping","OK"))</f>
        <v>Invalid Date</v>
      </c>
      <c r="X744">
        <f t="shared" si="88"/>
        <v>1</v>
      </c>
      <c r="Y744">
        <f t="shared" si="89"/>
        <v>0</v>
      </c>
      <c r="Z744">
        <f t="shared" si="90"/>
        <v>9043.7999999999993</v>
      </c>
      <c r="AA744">
        <f t="shared" si="91"/>
        <v>3130.4199999999992</v>
      </c>
      <c r="AB744" s="6">
        <f t="shared" si="92"/>
        <v>0.34613989694597397</v>
      </c>
      <c r="AC744" t="str">
        <f t="shared" si="93"/>
        <v/>
      </c>
      <c r="AD744" t="str">
        <f t="shared" si="94"/>
        <v/>
      </c>
      <c r="AE744" t="str">
        <f t="shared" si="95"/>
        <v>Invalid</v>
      </c>
    </row>
    <row r="745" spans="1:31">
      <c r="A745" t="s">
        <v>2307</v>
      </c>
      <c r="B745" s="3">
        <v>45993</v>
      </c>
      <c r="C745" s="3">
        <v>45702</v>
      </c>
      <c r="D745" t="s">
        <v>2308</v>
      </c>
      <c r="E745" t="s">
        <v>132</v>
      </c>
      <c r="F745" t="s">
        <v>24</v>
      </c>
      <c r="G745" t="s">
        <v>25</v>
      </c>
      <c r="H745" t="s">
        <v>136</v>
      </c>
      <c r="I745" t="s">
        <v>137</v>
      </c>
      <c r="J745" t="s">
        <v>28</v>
      </c>
      <c r="K745" t="s">
        <v>48</v>
      </c>
      <c r="L745" t="s">
        <v>2309</v>
      </c>
      <c r="M745" t="s">
        <v>59</v>
      </c>
      <c r="N745">
        <v>6</v>
      </c>
      <c r="O745">
        <v>491.4</v>
      </c>
      <c r="P745">
        <v>0.25</v>
      </c>
      <c r="Q745">
        <v>2211.3000000000002</v>
      </c>
      <c r="R745">
        <v>1735.64</v>
      </c>
      <c r="S745">
        <v>475.66</v>
      </c>
      <c r="T745" t="s">
        <v>32</v>
      </c>
      <c r="U745" t="s">
        <v>33</v>
      </c>
      <c r="V745">
        <f>IF(OR(B745="Invalid Date",C745="Invalid Date"),"Invalid Date",C745-B745)</f>
        <v>-291</v>
      </c>
      <c r="W745" s="4" t="str">
        <f>IF(OR(B745="Invalid Date",C745="Invalid Date"),"Invalid Date",IF(C745&lt;B745,"Invalid Shipping","OK"))</f>
        <v>Invalid Shipping</v>
      </c>
      <c r="X745">
        <f t="shared" si="88"/>
        <v>1</v>
      </c>
      <c r="Y745">
        <f t="shared" si="89"/>
        <v>0.25</v>
      </c>
      <c r="Z745">
        <f t="shared" si="90"/>
        <v>2211.2999999999997</v>
      </c>
      <c r="AA745">
        <f t="shared" si="91"/>
        <v>475.65999999999963</v>
      </c>
      <c r="AB745" s="6">
        <f t="shared" si="92"/>
        <v>0.21510423732645942</v>
      </c>
      <c r="AC745" t="str">
        <f t="shared" si="93"/>
        <v>December</v>
      </c>
      <c r="AD745">
        <f t="shared" si="94"/>
        <v>2025</v>
      </c>
      <c r="AE745" t="str">
        <f t="shared" si="95"/>
        <v>Invalid</v>
      </c>
    </row>
    <row r="746" spans="1:31">
      <c r="A746" t="s">
        <v>2310</v>
      </c>
      <c r="B746" s="3">
        <v>45886</v>
      </c>
      <c r="C746" s="3">
        <v>45889</v>
      </c>
      <c r="D746" t="s">
        <v>2311</v>
      </c>
      <c r="E746" t="s">
        <v>36</v>
      </c>
      <c r="F746" t="s">
        <v>95</v>
      </c>
      <c r="G746" t="s">
        <v>25</v>
      </c>
      <c r="H746" t="s">
        <v>122</v>
      </c>
      <c r="I746" t="s">
        <v>123</v>
      </c>
      <c r="J746" t="s">
        <v>28</v>
      </c>
      <c r="K746" t="s">
        <v>153</v>
      </c>
      <c r="L746" t="s">
        <v>2312</v>
      </c>
      <c r="M746" t="s">
        <v>50</v>
      </c>
      <c r="N746">
        <v>5</v>
      </c>
      <c r="O746">
        <v>2701.89</v>
      </c>
      <c r="P746">
        <v>0.1</v>
      </c>
      <c r="Q746">
        <v>12158.5</v>
      </c>
      <c r="R746">
        <v>10260.07</v>
      </c>
      <c r="S746">
        <v>1898.43</v>
      </c>
      <c r="T746" t="s">
        <v>32</v>
      </c>
      <c r="U746" t="s">
        <v>68</v>
      </c>
      <c r="V746">
        <f>IF(OR(B746="Invalid Date",C746="Invalid Date"),"Invalid Date",C746-B746)</f>
        <v>3</v>
      </c>
      <c r="W746" s="4" t="str">
        <f>IF(OR(B746="Invalid Date",C746="Invalid Date"),"Invalid Date",IF(C746&lt;B746,"Invalid Shipping","OK"))</f>
        <v>OK</v>
      </c>
      <c r="X746">
        <f t="shared" si="88"/>
        <v>1</v>
      </c>
      <c r="Y746">
        <f t="shared" si="89"/>
        <v>0.1</v>
      </c>
      <c r="Z746">
        <f t="shared" si="90"/>
        <v>12158.504999999999</v>
      </c>
      <c r="AA746">
        <f t="shared" si="91"/>
        <v>1898.4349999999995</v>
      </c>
      <c r="AB746" s="6">
        <f t="shared" si="92"/>
        <v>0.15614049589155901</v>
      </c>
      <c r="AC746" t="str">
        <f t="shared" si="93"/>
        <v>August</v>
      </c>
      <c r="AD746">
        <f t="shared" si="94"/>
        <v>2025</v>
      </c>
      <c r="AE746" t="str">
        <f t="shared" si="95"/>
        <v>Clean</v>
      </c>
    </row>
    <row r="747" spans="1:31">
      <c r="A747" t="s">
        <v>2313</v>
      </c>
      <c r="B747" s="3">
        <v>45589</v>
      </c>
      <c r="C747" s="3">
        <v>45593</v>
      </c>
      <c r="D747" t="s">
        <v>2314</v>
      </c>
      <c r="E747" t="s">
        <v>36</v>
      </c>
      <c r="F747" t="s">
        <v>37</v>
      </c>
      <c r="G747" t="s">
        <v>38</v>
      </c>
      <c r="H747" t="s">
        <v>166</v>
      </c>
      <c r="I747" t="s">
        <v>167</v>
      </c>
      <c r="J747" t="s">
        <v>74</v>
      </c>
      <c r="K747" t="s">
        <v>80</v>
      </c>
      <c r="L747" t="s">
        <v>2315</v>
      </c>
      <c r="M747" t="s">
        <v>59</v>
      </c>
      <c r="N747">
        <v>3</v>
      </c>
      <c r="O747">
        <v>723.59</v>
      </c>
      <c r="P747">
        <v>0.2</v>
      </c>
      <c r="Q747">
        <v>1736.62</v>
      </c>
      <c r="R747">
        <v>1059.52</v>
      </c>
      <c r="S747">
        <v>677.1</v>
      </c>
      <c r="T747" t="s">
        <v>32</v>
      </c>
      <c r="U747" t="s">
        <v>33</v>
      </c>
      <c r="V747">
        <f>IF(OR(B747="Invalid Date",C747="Invalid Date"),"Invalid Date",C747-B747)</f>
        <v>4</v>
      </c>
      <c r="W747" s="4" t="str">
        <f>IF(OR(B747="Invalid Date",C747="Invalid Date"),"Invalid Date",IF(C747&lt;B747,"Invalid Shipping","OK"))</f>
        <v>OK</v>
      </c>
      <c r="X747">
        <f t="shared" si="88"/>
        <v>1</v>
      </c>
      <c r="Y747">
        <f t="shared" si="89"/>
        <v>0.2</v>
      </c>
      <c r="Z747">
        <f t="shared" si="90"/>
        <v>1736.616</v>
      </c>
      <c r="AA747">
        <f t="shared" si="91"/>
        <v>677.096</v>
      </c>
      <c r="AB747" s="6">
        <f t="shared" si="92"/>
        <v>0.38989390861307277</v>
      </c>
      <c r="AC747" t="str">
        <f t="shared" si="93"/>
        <v>October</v>
      </c>
      <c r="AD747">
        <f t="shared" si="94"/>
        <v>2024</v>
      </c>
      <c r="AE747" t="str">
        <f t="shared" si="95"/>
        <v>Clean</v>
      </c>
    </row>
    <row r="748" spans="1:31">
      <c r="A748" t="s">
        <v>2316</v>
      </c>
      <c r="B748" s="3">
        <v>45661</v>
      </c>
      <c r="C748" s="3">
        <v>45667</v>
      </c>
      <c r="D748" t="s">
        <v>2025</v>
      </c>
      <c r="E748" t="s">
        <v>128</v>
      </c>
      <c r="F748" t="s">
        <v>95</v>
      </c>
      <c r="G748" t="s">
        <v>38</v>
      </c>
      <c r="H748" t="s">
        <v>99</v>
      </c>
      <c r="I748" t="s">
        <v>100</v>
      </c>
      <c r="J748" t="s">
        <v>28</v>
      </c>
      <c r="K748" t="s">
        <v>29</v>
      </c>
      <c r="L748" t="s">
        <v>2317</v>
      </c>
      <c r="M748" t="s">
        <v>59</v>
      </c>
      <c r="N748">
        <v>4</v>
      </c>
      <c r="O748">
        <v>2583.19</v>
      </c>
      <c r="P748">
        <v>0.2</v>
      </c>
      <c r="Q748">
        <v>8266.2099999999991</v>
      </c>
      <c r="R748">
        <v>6236.32</v>
      </c>
      <c r="S748">
        <v>2029.89</v>
      </c>
      <c r="T748" t="s">
        <v>32</v>
      </c>
      <c r="U748" t="s">
        <v>33</v>
      </c>
      <c r="V748">
        <f>IF(OR(B748="Invalid Date",C748="Invalid Date"),"Invalid Date",C748-B748)</f>
        <v>6</v>
      </c>
      <c r="W748" s="4" t="str">
        <f>IF(OR(B748="Invalid Date",C748="Invalid Date"),"Invalid Date",IF(C748&lt;B748,"Invalid Shipping","OK"))</f>
        <v>OK</v>
      </c>
      <c r="X748">
        <f t="shared" si="88"/>
        <v>1</v>
      </c>
      <c r="Y748">
        <f t="shared" si="89"/>
        <v>0.2</v>
      </c>
      <c r="Z748">
        <f t="shared" si="90"/>
        <v>8266.2080000000005</v>
      </c>
      <c r="AA748">
        <f t="shared" si="91"/>
        <v>2029.8880000000008</v>
      </c>
      <c r="AB748" s="6">
        <f t="shared" si="92"/>
        <v>0.24556459261610653</v>
      </c>
      <c r="AC748" t="str">
        <f t="shared" si="93"/>
        <v>January</v>
      </c>
      <c r="AD748">
        <f t="shared" si="94"/>
        <v>2025</v>
      </c>
      <c r="AE748" t="str">
        <f t="shared" si="95"/>
        <v>Clean</v>
      </c>
    </row>
    <row r="749" spans="1:31">
      <c r="A749" t="s">
        <v>2318</v>
      </c>
      <c r="B749" s="3">
        <v>45413</v>
      </c>
      <c r="C749" s="3">
        <v>45419</v>
      </c>
      <c r="D749" t="s">
        <v>2319</v>
      </c>
      <c r="E749" t="s">
        <v>47</v>
      </c>
      <c r="F749" t="s">
        <v>95</v>
      </c>
      <c r="G749" t="s">
        <v>38</v>
      </c>
      <c r="H749" t="s">
        <v>39</v>
      </c>
      <c r="I749" t="s">
        <v>40</v>
      </c>
      <c r="J749" t="s">
        <v>28</v>
      </c>
      <c r="K749" t="s">
        <v>29</v>
      </c>
      <c r="L749" t="s">
        <v>2320</v>
      </c>
      <c r="M749" t="s">
        <v>44</v>
      </c>
      <c r="N749">
        <v>8</v>
      </c>
      <c r="O749">
        <v>1473.83</v>
      </c>
      <c r="P749">
        <v>0.15</v>
      </c>
      <c r="Q749">
        <v>10022.040000000001</v>
      </c>
      <c r="R749">
        <v>5576.98</v>
      </c>
      <c r="S749">
        <v>4445.0600000000004</v>
      </c>
      <c r="T749" t="s">
        <v>32</v>
      </c>
      <c r="U749" t="s">
        <v>33</v>
      </c>
      <c r="V749">
        <f>IF(OR(B749="Invalid Date",C749="Invalid Date"),"Invalid Date",C749-B749)</f>
        <v>6</v>
      </c>
      <c r="W749" s="4" t="str">
        <f>IF(OR(B749="Invalid Date",C749="Invalid Date"),"Invalid Date",IF(C749&lt;B749,"Invalid Shipping","OK"))</f>
        <v>OK</v>
      </c>
      <c r="X749">
        <f t="shared" si="88"/>
        <v>1</v>
      </c>
      <c r="Y749">
        <f t="shared" si="89"/>
        <v>0.15</v>
      </c>
      <c r="Z749">
        <f t="shared" si="90"/>
        <v>10022.044</v>
      </c>
      <c r="AA749">
        <f t="shared" si="91"/>
        <v>4445.0640000000003</v>
      </c>
      <c r="AB749" s="6">
        <f t="shared" si="92"/>
        <v>0.44352868536597928</v>
      </c>
      <c r="AC749" t="str">
        <f t="shared" si="93"/>
        <v>May</v>
      </c>
      <c r="AD749">
        <f t="shared" si="94"/>
        <v>2024</v>
      </c>
      <c r="AE749" t="str">
        <f t="shared" si="95"/>
        <v>Clean</v>
      </c>
    </row>
    <row r="750" spans="1:31">
      <c r="A750" t="s">
        <v>2321</v>
      </c>
      <c r="B750" s="3">
        <v>45442</v>
      </c>
      <c r="C750" s="3" t="s">
        <v>2763</v>
      </c>
      <c r="D750" t="s">
        <v>2322</v>
      </c>
      <c r="E750" t="s">
        <v>162</v>
      </c>
      <c r="F750" t="s">
        <v>95</v>
      </c>
      <c r="G750" t="s">
        <v>25</v>
      </c>
      <c r="H750" t="s">
        <v>236</v>
      </c>
      <c r="I750" t="s">
        <v>237</v>
      </c>
      <c r="J750" t="s">
        <v>74</v>
      </c>
      <c r="K750" t="s">
        <v>171</v>
      </c>
      <c r="L750" t="s">
        <v>2323</v>
      </c>
      <c r="M750" t="s">
        <v>31</v>
      </c>
      <c r="N750">
        <v>1</v>
      </c>
      <c r="O750">
        <v>3848.04</v>
      </c>
      <c r="P750">
        <v>0.25</v>
      </c>
      <c r="Q750">
        <v>2886.03</v>
      </c>
      <c r="R750">
        <v>2064.83</v>
      </c>
      <c r="S750">
        <v>821.2</v>
      </c>
      <c r="T750" t="s">
        <v>32</v>
      </c>
      <c r="U750" t="s">
        <v>33</v>
      </c>
      <c r="V750" t="str">
        <f>IF(OR(B750="Invalid Date",C750="Invalid Date"),"Invalid Date",C750-B750)</f>
        <v>Invalid Date</v>
      </c>
      <c r="W750" s="4" t="str">
        <f>IF(OR(B750="Invalid Date",C750="Invalid Date"),"Invalid Date",IF(C750&lt;B750,"Invalid Shipping","OK"))</f>
        <v>Invalid Date</v>
      </c>
      <c r="X750">
        <f t="shared" si="88"/>
        <v>1</v>
      </c>
      <c r="Y750">
        <f t="shared" si="89"/>
        <v>0.25</v>
      </c>
      <c r="Z750">
        <f t="shared" si="90"/>
        <v>2886.0299999999997</v>
      </c>
      <c r="AA750">
        <f t="shared" si="91"/>
        <v>821.19999999999982</v>
      </c>
      <c r="AB750" s="6">
        <f t="shared" si="92"/>
        <v>0.28454312671732446</v>
      </c>
      <c r="AC750" t="str">
        <f t="shared" si="93"/>
        <v>May</v>
      </c>
      <c r="AD750">
        <f t="shared" si="94"/>
        <v>2024</v>
      </c>
      <c r="AE750" t="str">
        <f t="shared" si="95"/>
        <v>Invalid</v>
      </c>
    </row>
    <row r="751" spans="1:31">
      <c r="A751" t="s">
        <v>2324</v>
      </c>
      <c r="B751" s="3">
        <v>45372</v>
      </c>
      <c r="C751" s="3">
        <v>45376</v>
      </c>
      <c r="D751" t="s">
        <v>2325</v>
      </c>
      <c r="E751" t="s">
        <v>89</v>
      </c>
      <c r="F751" t="s">
        <v>95</v>
      </c>
      <c r="G751" t="s">
        <v>38</v>
      </c>
      <c r="H751" t="s">
        <v>166</v>
      </c>
      <c r="I751" t="s">
        <v>167</v>
      </c>
      <c r="J751" t="s">
        <v>74</v>
      </c>
      <c r="K751" t="s">
        <v>274</v>
      </c>
      <c r="L751" t="s">
        <v>2326</v>
      </c>
      <c r="M751" t="s">
        <v>59</v>
      </c>
      <c r="N751">
        <v>1</v>
      </c>
      <c r="O751">
        <v>1716.7</v>
      </c>
      <c r="P751">
        <v>0.15</v>
      </c>
      <c r="Q751">
        <v>1459.19</v>
      </c>
      <c r="R751">
        <v>1055.79</v>
      </c>
      <c r="S751">
        <v>403.4</v>
      </c>
      <c r="T751" t="s">
        <v>32</v>
      </c>
      <c r="U751" t="s">
        <v>33</v>
      </c>
      <c r="V751">
        <f>IF(OR(B751="Invalid Date",C751="Invalid Date"),"Invalid Date",C751-B751)</f>
        <v>4</v>
      </c>
      <c r="W751" s="4" t="str">
        <f>IF(OR(B751="Invalid Date",C751="Invalid Date"),"Invalid Date",IF(C751&lt;B751,"Invalid Shipping","OK"))</f>
        <v>OK</v>
      </c>
      <c r="X751">
        <f t="shared" si="88"/>
        <v>1</v>
      </c>
      <c r="Y751">
        <f t="shared" si="89"/>
        <v>0.15</v>
      </c>
      <c r="Z751">
        <f t="shared" si="90"/>
        <v>1459.1949999999999</v>
      </c>
      <c r="AA751">
        <f t="shared" si="91"/>
        <v>403.40499999999997</v>
      </c>
      <c r="AB751" s="6">
        <f t="shared" si="92"/>
        <v>0.27645722470266137</v>
      </c>
      <c r="AC751" t="str">
        <f t="shared" si="93"/>
        <v>March</v>
      </c>
      <c r="AD751">
        <f t="shared" si="94"/>
        <v>2024</v>
      </c>
      <c r="AE751" t="str">
        <f t="shared" si="95"/>
        <v>Clean</v>
      </c>
    </row>
    <row r="752" spans="1:31">
      <c r="A752" t="s">
        <v>2327</v>
      </c>
      <c r="B752" s="3">
        <v>45694</v>
      </c>
      <c r="C752" s="3">
        <v>45810</v>
      </c>
      <c r="D752" t="s">
        <v>2328</v>
      </c>
      <c r="E752" t="s">
        <v>128</v>
      </c>
      <c r="F752" t="s">
        <v>95</v>
      </c>
      <c r="G752" t="s">
        <v>54</v>
      </c>
      <c r="H752" t="s">
        <v>55</v>
      </c>
      <c r="I752" t="s">
        <v>56</v>
      </c>
      <c r="J752" t="s">
        <v>74</v>
      </c>
      <c r="K752" t="s">
        <v>75</v>
      </c>
      <c r="L752" t="s">
        <v>2329</v>
      </c>
      <c r="M752" t="s">
        <v>50</v>
      </c>
      <c r="N752">
        <v>8</v>
      </c>
      <c r="O752">
        <v>3925.93</v>
      </c>
      <c r="P752">
        <v>0.15</v>
      </c>
      <c r="Q752">
        <v>26696.32</v>
      </c>
      <c r="R752">
        <v>22724.52</v>
      </c>
      <c r="S752">
        <v>3971.8</v>
      </c>
      <c r="T752" t="s">
        <v>32</v>
      </c>
      <c r="U752" t="s">
        <v>33</v>
      </c>
      <c r="V752">
        <f>IF(OR(B752="Invalid Date",C752="Invalid Date"),"Invalid Date",C752-B752)</f>
        <v>116</v>
      </c>
      <c r="W752" s="4" t="str">
        <f>IF(OR(B752="Invalid Date",C752="Invalid Date"),"Invalid Date",IF(C752&lt;B752,"Invalid Shipping","OK"))</f>
        <v>OK</v>
      </c>
      <c r="X752">
        <f t="shared" si="88"/>
        <v>1</v>
      </c>
      <c r="Y752">
        <f t="shared" si="89"/>
        <v>0.15</v>
      </c>
      <c r="Z752">
        <f t="shared" si="90"/>
        <v>26696.323999999997</v>
      </c>
      <c r="AA752">
        <f t="shared" si="91"/>
        <v>3971.8039999999964</v>
      </c>
      <c r="AB752" s="6">
        <f t="shared" si="92"/>
        <v>0.14877718745097629</v>
      </c>
      <c r="AC752" t="str">
        <f t="shared" si="93"/>
        <v>February</v>
      </c>
      <c r="AD752">
        <f t="shared" si="94"/>
        <v>2025</v>
      </c>
      <c r="AE752" t="str">
        <f t="shared" si="95"/>
        <v>Clean</v>
      </c>
    </row>
    <row r="753" spans="1:31">
      <c r="A753" t="s">
        <v>2330</v>
      </c>
      <c r="B753" s="3">
        <v>45856</v>
      </c>
      <c r="C753" s="3">
        <v>45857</v>
      </c>
      <c r="D753" t="s">
        <v>2331</v>
      </c>
      <c r="E753" t="s">
        <v>114</v>
      </c>
      <c r="F753" t="s">
        <v>95</v>
      </c>
      <c r="G753" t="s">
        <v>2767</v>
      </c>
      <c r="H753" t="s">
        <v>136</v>
      </c>
      <c r="I753" t="s">
        <v>137</v>
      </c>
      <c r="J753" t="s">
        <v>74</v>
      </c>
      <c r="K753" t="s">
        <v>274</v>
      </c>
      <c r="L753" t="s">
        <v>2332</v>
      </c>
      <c r="M753" t="s">
        <v>2767</v>
      </c>
      <c r="N753">
        <v>3</v>
      </c>
      <c r="O753">
        <v>2963.25</v>
      </c>
      <c r="P753">
        <v>0.05</v>
      </c>
      <c r="Q753">
        <v>8445.26</v>
      </c>
      <c r="R753">
        <v>6937.6</v>
      </c>
      <c r="S753">
        <v>1507.66</v>
      </c>
      <c r="T753" t="s">
        <v>32</v>
      </c>
      <c r="U753" t="s">
        <v>33</v>
      </c>
      <c r="V753">
        <f>IF(OR(B753="Invalid Date",C753="Invalid Date"),"Invalid Date",C753-B753)</f>
        <v>1</v>
      </c>
      <c r="W753" s="4" t="str">
        <f>IF(OR(B753="Invalid Date",C753="Invalid Date"),"Invalid Date",IF(C753&lt;B753,"Invalid Shipping","OK"))</f>
        <v>OK</v>
      </c>
      <c r="X753">
        <f t="shared" si="88"/>
        <v>1</v>
      </c>
      <c r="Y753">
        <f t="shared" si="89"/>
        <v>0.05</v>
      </c>
      <c r="Z753">
        <f t="shared" si="90"/>
        <v>8445.2624999999989</v>
      </c>
      <c r="AA753">
        <f t="shared" si="91"/>
        <v>1507.6624999999985</v>
      </c>
      <c r="AB753" s="6">
        <f t="shared" si="92"/>
        <v>0.17852168597482893</v>
      </c>
      <c r="AC753" t="str">
        <f t="shared" si="93"/>
        <v>July</v>
      </c>
      <c r="AD753">
        <f t="shared" si="94"/>
        <v>2025</v>
      </c>
      <c r="AE753" t="str">
        <f t="shared" si="95"/>
        <v>Warning</v>
      </c>
    </row>
    <row r="754" spans="1:31">
      <c r="A754" t="s">
        <v>2333</v>
      </c>
      <c r="B754" s="3">
        <v>45375</v>
      </c>
      <c r="C754" s="3">
        <v>45378</v>
      </c>
      <c r="D754" t="s">
        <v>2334</v>
      </c>
      <c r="E754" t="s">
        <v>89</v>
      </c>
      <c r="F754" t="s">
        <v>90</v>
      </c>
      <c r="G754" t="s">
        <v>63</v>
      </c>
      <c r="H754" t="s">
        <v>180</v>
      </c>
      <c r="I754" t="s">
        <v>181</v>
      </c>
      <c r="J754" t="s">
        <v>28</v>
      </c>
      <c r="K754" t="s">
        <v>124</v>
      </c>
      <c r="L754" t="s">
        <v>2335</v>
      </c>
      <c r="M754" t="s">
        <v>50</v>
      </c>
      <c r="N754">
        <v>5</v>
      </c>
      <c r="O754">
        <v>2465.2199999999998</v>
      </c>
      <c r="P754">
        <v>0.05</v>
      </c>
      <c r="Q754">
        <v>11709.79</v>
      </c>
      <c r="R754">
        <v>8372.2900000000009</v>
      </c>
      <c r="S754">
        <v>3337.5</v>
      </c>
      <c r="T754" t="s">
        <v>32</v>
      </c>
      <c r="U754" t="s">
        <v>33</v>
      </c>
      <c r="V754">
        <f>IF(OR(B754="Invalid Date",C754="Invalid Date"),"Invalid Date",C754-B754)</f>
        <v>3</v>
      </c>
      <c r="W754" s="4" t="str">
        <f>IF(OR(B754="Invalid Date",C754="Invalid Date"),"Invalid Date",IF(C754&lt;B754,"Invalid Shipping","OK"))</f>
        <v>OK</v>
      </c>
      <c r="X754">
        <f t="shared" si="88"/>
        <v>1</v>
      </c>
      <c r="Y754">
        <f t="shared" si="89"/>
        <v>0.05</v>
      </c>
      <c r="Z754">
        <f t="shared" si="90"/>
        <v>11709.794999999998</v>
      </c>
      <c r="AA754">
        <f t="shared" si="91"/>
        <v>3337.5049999999974</v>
      </c>
      <c r="AB754" s="6">
        <f t="shared" si="92"/>
        <v>0.28501822619439521</v>
      </c>
      <c r="AC754" t="str">
        <f t="shared" si="93"/>
        <v>March</v>
      </c>
      <c r="AD754">
        <f t="shared" si="94"/>
        <v>2024</v>
      </c>
      <c r="AE754" t="str">
        <f t="shared" si="95"/>
        <v>Clean</v>
      </c>
    </row>
    <row r="755" spans="1:31">
      <c r="A755" t="s">
        <v>2336</v>
      </c>
      <c r="B755" s="3">
        <v>45515</v>
      </c>
      <c r="C755" s="3">
        <v>45514</v>
      </c>
      <c r="D755" t="s">
        <v>2337</v>
      </c>
      <c r="E755" t="s">
        <v>89</v>
      </c>
      <c r="F755" t="s">
        <v>90</v>
      </c>
      <c r="G755" t="s">
        <v>25</v>
      </c>
      <c r="H755" t="s">
        <v>350</v>
      </c>
      <c r="I755" t="s">
        <v>351</v>
      </c>
      <c r="J755" t="s">
        <v>41</v>
      </c>
      <c r="K755" t="s">
        <v>57</v>
      </c>
      <c r="L755" t="s">
        <v>2338</v>
      </c>
      <c r="M755" t="s">
        <v>31</v>
      </c>
      <c r="N755">
        <v>3</v>
      </c>
      <c r="O755">
        <v>1017.22</v>
      </c>
      <c r="P755">
        <v>0.15</v>
      </c>
      <c r="Q755">
        <v>2593.91</v>
      </c>
      <c r="R755">
        <v>1848.48</v>
      </c>
      <c r="S755">
        <v>745.43</v>
      </c>
      <c r="T755" t="s">
        <v>155</v>
      </c>
      <c r="U755" t="s">
        <v>103</v>
      </c>
      <c r="V755">
        <f>IF(OR(B755="Invalid Date",C755="Invalid Date"),"Invalid Date",C755-B755)</f>
        <v>-1</v>
      </c>
      <c r="W755" s="4" t="str">
        <f>IF(OR(B755="Invalid Date",C755="Invalid Date"),"Invalid Date",IF(C755&lt;B755,"Invalid Shipping","OK"))</f>
        <v>Invalid Shipping</v>
      </c>
      <c r="X755">
        <f t="shared" si="88"/>
        <v>1</v>
      </c>
      <c r="Y755">
        <f t="shared" si="89"/>
        <v>0.15</v>
      </c>
      <c r="Z755">
        <f t="shared" si="90"/>
        <v>2593.9109999999996</v>
      </c>
      <c r="AA755">
        <f t="shared" si="91"/>
        <v>745.43099999999959</v>
      </c>
      <c r="AB755" s="6">
        <f t="shared" si="92"/>
        <v>0.28737724617382776</v>
      </c>
      <c r="AC755" t="str">
        <f t="shared" si="93"/>
        <v>August</v>
      </c>
      <c r="AD755">
        <f t="shared" si="94"/>
        <v>2024</v>
      </c>
      <c r="AE755" t="str">
        <f t="shared" si="95"/>
        <v>Invalid</v>
      </c>
    </row>
    <row r="756" spans="1:31">
      <c r="A756" t="s">
        <v>2339</v>
      </c>
      <c r="B756" s="3">
        <v>45753</v>
      </c>
      <c r="C756" s="3">
        <v>45753</v>
      </c>
      <c r="D756" t="s">
        <v>2340</v>
      </c>
      <c r="E756" t="s">
        <v>79</v>
      </c>
      <c r="F756" t="s">
        <v>90</v>
      </c>
      <c r="G756" t="s">
        <v>54</v>
      </c>
      <c r="H756" t="s">
        <v>185</v>
      </c>
      <c r="I756" t="s">
        <v>186</v>
      </c>
      <c r="J756" t="s">
        <v>28</v>
      </c>
      <c r="K756" t="s">
        <v>124</v>
      </c>
      <c r="L756" t="s">
        <v>2341</v>
      </c>
      <c r="M756" t="s">
        <v>59</v>
      </c>
      <c r="N756">
        <v>4</v>
      </c>
      <c r="O756">
        <v>891.34</v>
      </c>
      <c r="P756">
        <v>0.25</v>
      </c>
      <c r="Q756">
        <v>2674.02</v>
      </c>
      <c r="R756">
        <v>2207.5700000000002</v>
      </c>
      <c r="S756">
        <v>466.45</v>
      </c>
      <c r="T756" t="s">
        <v>32</v>
      </c>
      <c r="U756" t="s">
        <v>33</v>
      </c>
      <c r="V756">
        <f>IF(OR(B756="Invalid Date",C756="Invalid Date"),"Invalid Date",C756-B756)</f>
        <v>0</v>
      </c>
      <c r="W756" s="4" t="str">
        <f>IF(OR(B756="Invalid Date",C756="Invalid Date"),"Invalid Date",IF(C756&lt;B756,"Invalid Shipping","OK"))</f>
        <v>OK</v>
      </c>
      <c r="X756">
        <f t="shared" si="88"/>
        <v>1</v>
      </c>
      <c r="Y756">
        <f t="shared" si="89"/>
        <v>0.25</v>
      </c>
      <c r="Z756">
        <f t="shared" si="90"/>
        <v>2674.02</v>
      </c>
      <c r="AA756">
        <f t="shared" si="91"/>
        <v>466.44999999999982</v>
      </c>
      <c r="AB756" s="6">
        <f t="shared" si="92"/>
        <v>0.17443773793763689</v>
      </c>
      <c r="AC756" t="str">
        <f t="shared" si="93"/>
        <v>April</v>
      </c>
      <c r="AD756">
        <f t="shared" si="94"/>
        <v>2025</v>
      </c>
      <c r="AE756" t="str">
        <f t="shared" si="95"/>
        <v>Clean</v>
      </c>
    </row>
    <row r="757" spans="1:31">
      <c r="A757" t="s">
        <v>2342</v>
      </c>
      <c r="B757" s="3">
        <v>45858</v>
      </c>
      <c r="C757" s="3">
        <v>45862</v>
      </c>
      <c r="D757" t="s">
        <v>2343</v>
      </c>
      <c r="E757" t="s">
        <v>114</v>
      </c>
      <c r="F757" t="s">
        <v>95</v>
      </c>
      <c r="G757" t="s">
        <v>63</v>
      </c>
      <c r="H757" t="s">
        <v>72</v>
      </c>
      <c r="I757" t="s">
        <v>73</v>
      </c>
      <c r="J757" t="s">
        <v>28</v>
      </c>
      <c r="K757" t="s">
        <v>124</v>
      </c>
      <c r="L757" t="s">
        <v>2344</v>
      </c>
      <c r="M757" t="s">
        <v>31</v>
      </c>
      <c r="N757">
        <v>5</v>
      </c>
      <c r="O757">
        <v>2481.7399999999998</v>
      </c>
      <c r="P757">
        <v>0.2</v>
      </c>
      <c r="Q757">
        <v>9926.9599999999991</v>
      </c>
      <c r="R757">
        <v>7994.98</v>
      </c>
      <c r="S757">
        <v>1931.98</v>
      </c>
      <c r="T757" t="s">
        <v>32</v>
      </c>
      <c r="U757" t="s">
        <v>33</v>
      </c>
      <c r="V757">
        <f>IF(OR(B757="Invalid Date",C757="Invalid Date"),"Invalid Date",C757-B757)</f>
        <v>4</v>
      </c>
      <c r="W757" s="4" t="str">
        <f>IF(OR(B757="Invalid Date",C757="Invalid Date"),"Invalid Date",IF(C757&lt;B757,"Invalid Shipping","OK"))</f>
        <v>OK</v>
      </c>
      <c r="X757">
        <f t="shared" si="88"/>
        <v>1</v>
      </c>
      <c r="Y757">
        <f t="shared" si="89"/>
        <v>0.2</v>
      </c>
      <c r="Z757">
        <f t="shared" si="90"/>
        <v>9926.9599999999991</v>
      </c>
      <c r="AA757">
        <f t="shared" si="91"/>
        <v>1931.9799999999996</v>
      </c>
      <c r="AB757" s="6">
        <f t="shared" si="92"/>
        <v>0.19461950083409219</v>
      </c>
      <c r="AC757" t="str">
        <f t="shared" si="93"/>
        <v>July</v>
      </c>
      <c r="AD757">
        <f t="shared" si="94"/>
        <v>2025</v>
      </c>
      <c r="AE757" t="str">
        <f t="shared" si="95"/>
        <v>Clean</v>
      </c>
    </row>
    <row r="758" spans="1:31">
      <c r="A758" t="s">
        <v>2345</v>
      </c>
      <c r="B758" s="3" t="s">
        <v>2763</v>
      </c>
      <c r="C758" s="3">
        <v>45302</v>
      </c>
      <c r="D758" t="s">
        <v>2346</v>
      </c>
      <c r="E758" t="s">
        <v>141</v>
      </c>
      <c r="F758" t="s">
        <v>24</v>
      </c>
      <c r="G758" t="s">
        <v>25</v>
      </c>
      <c r="H758" t="s">
        <v>26</v>
      </c>
      <c r="I758" t="s">
        <v>27</v>
      </c>
      <c r="J758" t="s">
        <v>74</v>
      </c>
      <c r="K758" t="s">
        <v>75</v>
      </c>
      <c r="L758" t="s">
        <v>2347</v>
      </c>
      <c r="M758" t="s">
        <v>44</v>
      </c>
      <c r="N758">
        <v>7</v>
      </c>
      <c r="O758">
        <v>2177.1</v>
      </c>
      <c r="P758">
        <v>0.2</v>
      </c>
      <c r="Q758">
        <v>12191.76</v>
      </c>
      <c r="R758">
        <v>10457.49</v>
      </c>
      <c r="S758">
        <v>1734.27</v>
      </c>
      <c r="T758" t="s">
        <v>32</v>
      </c>
      <c r="U758" t="s">
        <v>103</v>
      </c>
      <c r="V758" t="str">
        <f>IF(OR(B758="Invalid Date",C758="Invalid Date"),"Invalid Date",C758-B758)</f>
        <v>Invalid Date</v>
      </c>
      <c r="W758" s="4" t="str">
        <f>IF(OR(B758="Invalid Date",C758="Invalid Date"),"Invalid Date",IF(C758&lt;B758,"Invalid Shipping","OK"))</f>
        <v>Invalid Date</v>
      </c>
      <c r="X758">
        <f t="shared" si="88"/>
        <v>1</v>
      </c>
      <c r="Y758">
        <f t="shared" si="89"/>
        <v>0.2</v>
      </c>
      <c r="Z758">
        <f t="shared" si="90"/>
        <v>12191.76</v>
      </c>
      <c r="AA758">
        <f t="shared" si="91"/>
        <v>1734.2700000000004</v>
      </c>
      <c r="AB758" s="6">
        <f t="shared" si="92"/>
        <v>0.14224935530226976</v>
      </c>
      <c r="AC758" t="str">
        <f t="shared" si="93"/>
        <v/>
      </c>
      <c r="AD758" t="str">
        <f t="shared" si="94"/>
        <v/>
      </c>
      <c r="AE758" t="str">
        <f t="shared" si="95"/>
        <v>Invalid</v>
      </c>
    </row>
    <row r="759" spans="1:31">
      <c r="A759" t="s">
        <v>2348</v>
      </c>
      <c r="B759" s="3">
        <v>45870</v>
      </c>
      <c r="C759" s="3">
        <v>45872</v>
      </c>
      <c r="D759" t="s">
        <v>2349</v>
      </c>
      <c r="E759" t="s">
        <v>89</v>
      </c>
      <c r="F759" t="s">
        <v>37</v>
      </c>
      <c r="G759" t="s">
        <v>54</v>
      </c>
      <c r="H759" t="s">
        <v>185</v>
      </c>
      <c r="I759" t="s">
        <v>186</v>
      </c>
      <c r="J759" t="s">
        <v>41</v>
      </c>
      <c r="K759" t="s">
        <v>158</v>
      </c>
      <c r="L759" t="s">
        <v>2350</v>
      </c>
      <c r="M759" t="s">
        <v>59</v>
      </c>
      <c r="N759">
        <v>3</v>
      </c>
      <c r="O759">
        <v>1904.78</v>
      </c>
      <c r="P759">
        <v>0.25</v>
      </c>
      <c r="Q759">
        <v>4285.76</v>
      </c>
      <c r="R759">
        <v>2386.33</v>
      </c>
      <c r="S759">
        <v>1899.43</v>
      </c>
      <c r="T759" t="s">
        <v>155</v>
      </c>
      <c r="U759" t="s">
        <v>68</v>
      </c>
      <c r="V759">
        <f>IF(OR(B759="Invalid Date",C759="Invalid Date"),"Invalid Date",C759-B759)</f>
        <v>2</v>
      </c>
      <c r="W759" s="4" t="str">
        <f>IF(OR(B759="Invalid Date",C759="Invalid Date"),"Invalid Date",IF(C759&lt;B759,"Invalid Shipping","OK"))</f>
        <v>OK</v>
      </c>
      <c r="X759">
        <f t="shared" si="88"/>
        <v>1</v>
      </c>
      <c r="Y759">
        <f t="shared" si="89"/>
        <v>0.25</v>
      </c>
      <c r="Z759">
        <f t="shared" si="90"/>
        <v>4285.7550000000001</v>
      </c>
      <c r="AA759">
        <f t="shared" si="91"/>
        <v>1899.4250000000002</v>
      </c>
      <c r="AB759" s="6">
        <f t="shared" si="92"/>
        <v>0.44319495631458172</v>
      </c>
      <c r="AC759" t="str">
        <f t="shared" si="93"/>
        <v>August</v>
      </c>
      <c r="AD759">
        <f t="shared" si="94"/>
        <v>2025</v>
      </c>
      <c r="AE759" t="str">
        <f t="shared" si="95"/>
        <v>Clean</v>
      </c>
    </row>
    <row r="760" spans="1:31">
      <c r="A760" t="s">
        <v>2351</v>
      </c>
      <c r="B760" s="3">
        <v>45414</v>
      </c>
      <c r="C760" s="3">
        <v>45422</v>
      </c>
      <c r="D760" t="s">
        <v>2352</v>
      </c>
      <c r="E760" t="s">
        <v>128</v>
      </c>
      <c r="F760" t="s">
        <v>37</v>
      </c>
      <c r="G760" t="s">
        <v>54</v>
      </c>
      <c r="H760" t="s">
        <v>175</v>
      </c>
      <c r="I760" t="s">
        <v>176</v>
      </c>
      <c r="J760" t="s">
        <v>41</v>
      </c>
      <c r="K760" t="s">
        <v>66</v>
      </c>
      <c r="L760" t="s">
        <v>2353</v>
      </c>
      <c r="M760" t="s">
        <v>59</v>
      </c>
      <c r="N760">
        <v>1</v>
      </c>
      <c r="O760">
        <v>4166.91</v>
      </c>
      <c r="P760">
        <v>0</v>
      </c>
      <c r="Q760">
        <v>4166.91</v>
      </c>
      <c r="R760">
        <v>3412.63</v>
      </c>
      <c r="S760">
        <v>754.28</v>
      </c>
      <c r="T760" t="s">
        <v>32</v>
      </c>
      <c r="U760" t="s">
        <v>33</v>
      </c>
      <c r="V760">
        <f>IF(OR(B760="Invalid Date",C760="Invalid Date"),"Invalid Date",C760-B760)</f>
        <v>8</v>
      </c>
      <c r="W760" s="4" t="str">
        <f>IF(OR(B760="Invalid Date",C760="Invalid Date"),"Invalid Date",IF(C760&lt;B760,"Invalid Shipping","OK"))</f>
        <v>OK</v>
      </c>
      <c r="X760">
        <f t="shared" si="88"/>
        <v>1</v>
      </c>
      <c r="Y760">
        <f t="shared" si="89"/>
        <v>0</v>
      </c>
      <c r="Z760">
        <f t="shared" si="90"/>
        <v>4166.91</v>
      </c>
      <c r="AA760">
        <f t="shared" si="91"/>
        <v>754.27999999999975</v>
      </c>
      <c r="AB760" s="6">
        <f t="shared" si="92"/>
        <v>0.18101662862888801</v>
      </c>
      <c r="AC760" t="str">
        <f t="shared" si="93"/>
        <v>May</v>
      </c>
      <c r="AD760">
        <f t="shared" si="94"/>
        <v>2024</v>
      </c>
      <c r="AE760" t="str">
        <f t="shared" si="95"/>
        <v>Clean</v>
      </c>
    </row>
    <row r="761" spans="1:31">
      <c r="A761" t="s">
        <v>2354</v>
      </c>
      <c r="B761" s="3">
        <v>45492</v>
      </c>
      <c r="C761" s="3">
        <v>45499</v>
      </c>
      <c r="D761" t="s">
        <v>2355</v>
      </c>
      <c r="E761" t="s">
        <v>53</v>
      </c>
      <c r="F761" t="s">
        <v>95</v>
      </c>
      <c r="G761" t="s">
        <v>54</v>
      </c>
      <c r="H761" t="s">
        <v>175</v>
      </c>
      <c r="I761" t="s">
        <v>176</v>
      </c>
      <c r="J761" t="s">
        <v>41</v>
      </c>
      <c r="K761" t="s">
        <v>42</v>
      </c>
      <c r="L761" t="s">
        <v>2356</v>
      </c>
      <c r="M761" t="s">
        <v>31</v>
      </c>
      <c r="N761">
        <v>5</v>
      </c>
      <c r="O761">
        <v>3986.01</v>
      </c>
      <c r="P761">
        <v>0.25</v>
      </c>
      <c r="Q761">
        <v>14947.54</v>
      </c>
      <c r="R761">
        <v>9438.4599999999991</v>
      </c>
      <c r="S761">
        <v>5509.08</v>
      </c>
      <c r="T761" t="s">
        <v>32</v>
      </c>
      <c r="U761" t="s">
        <v>33</v>
      </c>
      <c r="V761">
        <f>IF(OR(B761="Invalid Date",C761="Invalid Date"),"Invalid Date",C761-B761)</f>
        <v>7</v>
      </c>
      <c r="W761" s="4" t="str">
        <f>IF(OR(B761="Invalid Date",C761="Invalid Date"),"Invalid Date",IF(C761&lt;B761,"Invalid Shipping","OK"))</f>
        <v>OK</v>
      </c>
      <c r="X761">
        <f t="shared" si="88"/>
        <v>1</v>
      </c>
      <c r="Y761">
        <f t="shared" si="89"/>
        <v>0.25</v>
      </c>
      <c r="Z761">
        <f t="shared" si="90"/>
        <v>14947.537500000002</v>
      </c>
      <c r="AA761">
        <f t="shared" si="91"/>
        <v>5509.0775000000031</v>
      </c>
      <c r="AB761" s="6">
        <f t="shared" si="92"/>
        <v>0.36856087499362367</v>
      </c>
      <c r="AC761" t="str">
        <f t="shared" si="93"/>
        <v>July</v>
      </c>
      <c r="AD761">
        <f t="shared" si="94"/>
        <v>2024</v>
      </c>
      <c r="AE761" t="str">
        <f t="shared" si="95"/>
        <v>Clean</v>
      </c>
    </row>
    <row r="762" spans="1:31">
      <c r="A762" t="s">
        <v>2357</v>
      </c>
      <c r="B762" s="3">
        <v>45532</v>
      </c>
      <c r="C762" s="3">
        <v>45537</v>
      </c>
      <c r="D762" t="s">
        <v>2358</v>
      </c>
      <c r="E762" t="s">
        <v>89</v>
      </c>
      <c r="F762" t="s">
        <v>95</v>
      </c>
      <c r="G762" t="s">
        <v>38</v>
      </c>
      <c r="H762" t="s">
        <v>166</v>
      </c>
      <c r="I762" t="s">
        <v>167</v>
      </c>
      <c r="J762" t="s">
        <v>28</v>
      </c>
      <c r="K762" t="s">
        <v>48</v>
      </c>
      <c r="L762" t="s">
        <v>2359</v>
      </c>
      <c r="M762" t="s">
        <v>31</v>
      </c>
      <c r="N762">
        <v>4</v>
      </c>
      <c r="O762">
        <v>3365.53</v>
      </c>
      <c r="P762">
        <v>0</v>
      </c>
      <c r="Q762">
        <v>13462.12</v>
      </c>
      <c r="R762">
        <v>7600.63</v>
      </c>
      <c r="S762">
        <v>5861.49</v>
      </c>
      <c r="T762" t="s">
        <v>111</v>
      </c>
      <c r="U762" t="s">
        <v>103</v>
      </c>
      <c r="V762">
        <f>IF(OR(B762="Invalid Date",C762="Invalid Date"),"Invalid Date",C762-B762)</f>
        <v>5</v>
      </c>
      <c r="W762" s="4" t="str">
        <f>IF(OR(B762="Invalid Date",C762="Invalid Date"),"Invalid Date",IF(C762&lt;B762,"Invalid Shipping","OK"))</f>
        <v>OK</v>
      </c>
      <c r="X762">
        <f t="shared" si="88"/>
        <v>1</v>
      </c>
      <c r="Y762">
        <f t="shared" si="89"/>
        <v>0</v>
      </c>
      <c r="Z762">
        <f t="shared" si="90"/>
        <v>13462.12</v>
      </c>
      <c r="AA762">
        <f t="shared" si="91"/>
        <v>5861.4900000000007</v>
      </c>
      <c r="AB762" s="6">
        <f t="shared" si="92"/>
        <v>0.43540616188237813</v>
      </c>
      <c r="AC762" t="str">
        <f t="shared" si="93"/>
        <v>August</v>
      </c>
      <c r="AD762">
        <f t="shared" si="94"/>
        <v>2024</v>
      </c>
      <c r="AE762" t="str">
        <f t="shared" si="95"/>
        <v>Clean</v>
      </c>
    </row>
    <row r="763" spans="1:31">
      <c r="A763" t="s">
        <v>2360</v>
      </c>
      <c r="B763" s="3">
        <v>45896</v>
      </c>
      <c r="C763" s="3" t="s">
        <v>2763</v>
      </c>
      <c r="D763" t="s">
        <v>2361</v>
      </c>
      <c r="E763" t="s">
        <v>47</v>
      </c>
      <c r="F763" t="s">
        <v>24</v>
      </c>
      <c r="G763" t="s">
        <v>54</v>
      </c>
      <c r="H763" t="s">
        <v>175</v>
      </c>
      <c r="I763" t="s">
        <v>176</v>
      </c>
      <c r="J763" t="s">
        <v>74</v>
      </c>
      <c r="K763" t="s">
        <v>274</v>
      </c>
      <c r="L763" t="s">
        <v>2362</v>
      </c>
      <c r="M763" t="s">
        <v>50</v>
      </c>
      <c r="N763">
        <v>3</v>
      </c>
      <c r="O763">
        <v>2489.12</v>
      </c>
      <c r="P763">
        <v>0</v>
      </c>
      <c r="Q763">
        <v>7467.36</v>
      </c>
      <c r="R763">
        <v>5010.6099999999997</v>
      </c>
      <c r="S763">
        <v>2456.75</v>
      </c>
      <c r="T763" t="s">
        <v>32</v>
      </c>
      <c r="U763" t="s">
        <v>33</v>
      </c>
      <c r="V763" t="str">
        <f>IF(OR(B763="Invalid Date",C763="Invalid Date"),"Invalid Date",C763-B763)</f>
        <v>Invalid Date</v>
      </c>
      <c r="W763" s="4" t="str">
        <f>IF(OR(B763="Invalid Date",C763="Invalid Date"),"Invalid Date",IF(C763&lt;B763,"Invalid Shipping","OK"))</f>
        <v>Invalid Date</v>
      </c>
      <c r="X763">
        <f t="shared" si="88"/>
        <v>1</v>
      </c>
      <c r="Y763">
        <f t="shared" si="89"/>
        <v>0</v>
      </c>
      <c r="Z763">
        <f t="shared" si="90"/>
        <v>7467.36</v>
      </c>
      <c r="AA763">
        <f t="shared" si="91"/>
        <v>2456.75</v>
      </c>
      <c r="AB763" s="6">
        <f t="shared" si="92"/>
        <v>0.32899846799940008</v>
      </c>
      <c r="AC763" t="str">
        <f t="shared" si="93"/>
        <v>August</v>
      </c>
      <c r="AD763">
        <f t="shared" si="94"/>
        <v>2025</v>
      </c>
      <c r="AE763" t="str">
        <f t="shared" si="95"/>
        <v>Invalid</v>
      </c>
    </row>
    <row r="764" spans="1:31">
      <c r="A764" t="s">
        <v>2363</v>
      </c>
      <c r="B764" s="3">
        <v>45292</v>
      </c>
      <c r="C764" s="3">
        <v>45296</v>
      </c>
      <c r="D764" t="s">
        <v>2364</v>
      </c>
      <c r="E764" t="s">
        <v>162</v>
      </c>
      <c r="F764" t="s">
        <v>90</v>
      </c>
      <c r="G764" t="s">
        <v>63</v>
      </c>
      <c r="H764" t="s">
        <v>72</v>
      </c>
      <c r="I764" t="s">
        <v>73</v>
      </c>
      <c r="J764" t="s">
        <v>74</v>
      </c>
      <c r="K764" t="s">
        <v>274</v>
      </c>
      <c r="L764" t="s">
        <v>2365</v>
      </c>
      <c r="M764" t="s">
        <v>31</v>
      </c>
      <c r="N764">
        <v>2</v>
      </c>
      <c r="O764">
        <v>3694.12</v>
      </c>
      <c r="P764">
        <v>0.2</v>
      </c>
      <c r="Q764">
        <v>5910.59</v>
      </c>
      <c r="R764">
        <v>4775.4399999999996</v>
      </c>
      <c r="S764">
        <v>1135.1500000000001</v>
      </c>
      <c r="T764" t="s">
        <v>102</v>
      </c>
      <c r="U764" t="s">
        <v>103</v>
      </c>
      <c r="V764">
        <f>IF(OR(B764="Invalid Date",C764="Invalid Date"),"Invalid Date",C764-B764)</f>
        <v>4</v>
      </c>
      <c r="W764" s="4" t="str">
        <f>IF(OR(B764="Invalid Date",C764="Invalid Date"),"Invalid Date",IF(C764&lt;B764,"Invalid Shipping","OK"))</f>
        <v>OK</v>
      </c>
      <c r="X764">
        <f t="shared" si="88"/>
        <v>1</v>
      </c>
      <c r="Y764">
        <f t="shared" si="89"/>
        <v>0.2</v>
      </c>
      <c r="Z764">
        <f t="shared" si="90"/>
        <v>5910.5920000000006</v>
      </c>
      <c r="AA764">
        <f t="shared" si="91"/>
        <v>1135.152000000001</v>
      </c>
      <c r="AB764" s="6">
        <f t="shared" si="92"/>
        <v>0.19205385856442145</v>
      </c>
      <c r="AC764" t="str">
        <f t="shared" si="93"/>
        <v>January</v>
      </c>
      <c r="AD764">
        <f t="shared" si="94"/>
        <v>2024</v>
      </c>
      <c r="AE764" t="str">
        <f t="shared" si="95"/>
        <v>Clean</v>
      </c>
    </row>
    <row r="765" spans="1:31">
      <c r="A765" t="s">
        <v>2366</v>
      </c>
      <c r="B765" s="3">
        <v>45892</v>
      </c>
      <c r="C765" s="3">
        <v>45894</v>
      </c>
      <c r="D765" t="s">
        <v>2367</v>
      </c>
      <c r="E765" t="s">
        <v>162</v>
      </c>
      <c r="F765" t="s">
        <v>24</v>
      </c>
      <c r="G765" t="s">
        <v>25</v>
      </c>
      <c r="H765" t="s">
        <v>26</v>
      </c>
      <c r="I765" t="s">
        <v>27</v>
      </c>
      <c r="J765" t="s">
        <v>41</v>
      </c>
      <c r="K765" t="s">
        <v>57</v>
      </c>
      <c r="L765" t="s">
        <v>2368</v>
      </c>
      <c r="M765" t="s">
        <v>44</v>
      </c>
      <c r="N765">
        <v>6</v>
      </c>
      <c r="O765">
        <v>2742.48</v>
      </c>
      <c r="P765">
        <v>0</v>
      </c>
      <c r="Q765">
        <v>16454.88</v>
      </c>
      <c r="R765">
        <v>12081.54</v>
      </c>
      <c r="S765">
        <v>4373.34</v>
      </c>
      <c r="T765" t="s">
        <v>32</v>
      </c>
      <c r="U765" t="s">
        <v>33</v>
      </c>
      <c r="V765">
        <f>IF(OR(B765="Invalid Date",C765="Invalid Date"),"Invalid Date",C765-B765)</f>
        <v>2</v>
      </c>
      <c r="W765" s="4" t="str">
        <f>IF(OR(B765="Invalid Date",C765="Invalid Date"),"Invalid Date",IF(C765&lt;B765,"Invalid Shipping","OK"))</f>
        <v>OK</v>
      </c>
      <c r="X765">
        <f t="shared" si="88"/>
        <v>1</v>
      </c>
      <c r="Y765">
        <f t="shared" si="89"/>
        <v>0</v>
      </c>
      <c r="Z765">
        <f t="shared" si="90"/>
        <v>16454.88</v>
      </c>
      <c r="AA765">
        <f t="shared" si="91"/>
        <v>4373.34</v>
      </c>
      <c r="AB765" s="6">
        <f t="shared" si="92"/>
        <v>0.26577769026574488</v>
      </c>
      <c r="AC765" t="str">
        <f t="shared" si="93"/>
        <v>August</v>
      </c>
      <c r="AD765">
        <f t="shared" si="94"/>
        <v>2025</v>
      </c>
      <c r="AE765" t="str">
        <f t="shared" si="95"/>
        <v>Clean</v>
      </c>
    </row>
    <row r="766" spans="1:31">
      <c r="A766" t="s">
        <v>2369</v>
      </c>
      <c r="B766" s="3">
        <v>45760</v>
      </c>
      <c r="C766" s="3">
        <v>45760</v>
      </c>
      <c r="D766" t="s">
        <v>886</v>
      </c>
      <c r="E766" t="s">
        <v>114</v>
      </c>
      <c r="F766" t="s">
        <v>90</v>
      </c>
      <c r="G766" t="s">
        <v>54</v>
      </c>
      <c r="H766" t="s">
        <v>185</v>
      </c>
      <c r="I766" t="s">
        <v>186</v>
      </c>
      <c r="J766" t="s">
        <v>41</v>
      </c>
      <c r="K766" t="s">
        <v>158</v>
      </c>
      <c r="L766" t="s">
        <v>2370</v>
      </c>
      <c r="M766" t="s">
        <v>50</v>
      </c>
      <c r="N766">
        <v>6</v>
      </c>
      <c r="O766">
        <v>4414</v>
      </c>
      <c r="P766">
        <v>0.05</v>
      </c>
      <c r="Q766">
        <v>25159.8</v>
      </c>
      <c r="R766">
        <v>21606.83</v>
      </c>
      <c r="S766">
        <v>3552.97</v>
      </c>
      <c r="T766" t="s">
        <v>32</v>
      </c>
      <c r="U766" t="s">
        <v>33</v>
      </c>
      <c r="V766">
        <f>IF(OR(B766="Invalid Date",C766="Invalid Date"),"Invalid Date",C766-B766)</f>
        <v>0</v>
      </c>
      <c r="W766" s="4" t="str">
        <f>IF(OR(B766="Invalid Date",C766="Invalid Date"),"Invalid Date",IF(C766&lt;B766,"Invalid Shipping","OK"))</f>
        <v>OK</v>
      </c>
      <c r="X766">
        <f t="shared" si="88"/>
        <v>1</v>
      </c>
      <c r="Y766">
        <f t="shared" si="89"/>
        <v>0.05</v>
      </c>
      <c r="Z766">
        <f t="shared" si="90"/>
        <v>25159.8</v>
      </c>
      <c r="AA766">
        <f t="shared" si="91"/>
        <v>3552.9699999999975</v>
      </c>
      <c r="AB766" s="6">
        <f t="shared" si="92"/>
        <v>0.14121614639226057</v>
      </c>
      <c r="AC766" t="str">
        <f t="shared" si="93"/>
        <v>April</v>
      </c>
      <c r="AD766">
        <f t="shared" si="94"/>
        <v>2025</v>
      </c>
      <c r="AE766" t="str">
        <f t="shared" si="95"/>
        <v>Clean</v>
      </c>
    </row>
    <row r="767" spans="1:31">
      <c r="A767" t="s">
        <v>2371</v>
      </c>
      <c r="B767" s="3">
        <v>45837</v>
      </c>
      <c r="C767" s="3">
        <v>45841</v>
      </c>
      <c r="D767" t="s">
        <v>2372</v>
      </c>
      <c r="E767" t="s">
        <v>71</v>
      </c>
      <c r="F767" t="s">
        <v>90</v>
      </c>
      <c r="G767" t="s">
        <v>38</v>
      </c>
      <c r="H767" t="s">
        <v>228</v>
      </c>
      <c r="I767" t="s">
        <v>229</v>
      </c>
      <c r="J767" t="s">
        <v>28</v>
      </c>
      <c r="K767" t="s">
        <v>91</v>
      </c>
      <c r="L767" t="s">
        <v>2373</v>
      </c>
      <c r="M767" t="s">
        <v>50</v>
      </c>
      <c r="N767">
        <v>3</v>
      </c>
      <c r="O767">
        <v>608.14</v>
      </c>
      <c r="P767">
        <v>0</v>
      </c>
      <c r="Q767">
        <v>1824.42</v>
      </c>
      <c r="R767">
        <v>1214.8699999999999</v>
      </c>
      <c r="S767">
        <v>609.54999999999995</v>
      </c>
      <c r="T767" t="s">
        <v>32</v>
      </c>
      <c r="U767" t="s">
        <v>33</v>
      </c>
      <c r="V767">
        <f>IF(OR(B767="Invalid Date",C767="Invalid Date"),"Invalid Date",C767-B767)</f>
        <v>4</v>
      </c>
      <c r="W767" s="4" t="str">
        <f>IF(OR(B767="Invalid Date",C767="Invalid Date"),"Invalid Date",IF(C767&lt;B767,"Invalid Shipping","OK"))</f>
        <v>OK</v>
      </c>
      <c r="X767">
        <f t="shared" si="88"/>
        <v>1</v>
      </c>
      <c r="Y767">
        <f t="shared" si="89"/>
        <v>0</v>
      </c>
      <c r="Z767">
        <f t="shared" si="90"/>
        <v>1824.42</v>
      </c>
      <c r="AA767">
        <f t="shared" si="91"/>
        <v>609.55000000000018</v>
      </c>
      <c r="AB767" s="6">
        <f t="shared" si="92"/>
        <v>0.33410618169061956</v>
      </c>
      <c r="AC767" t="str">
        <f t="shared" si="93"/>
        <v>June</v>
      </c>
      <c r="AD767">
        <f t="shared" si="94"/>
        <v>2025</v>
      </c>
      <c r="AE767" t="str">
        <f t="shared" si="95"/>
        <v>Clean</v>
      </c>
    </row>
    <row r="768" spans="1:31">
      <c r="A768" t="s">
        <v>2374</v>
      </c>
      <c r="B768" s="3">
        <v>45552</v>
      </c>
      <c r="C768" s="3">
        <v>45559</v>
      </c>
      <c r="D768" t="s">
        <v>2375</v>
      </c>
      <c r="E768" t="s">
        <v>36</v>
      </c>
      <c r="F768" t="s">
        <v>90</v>
      </c>
      <c r="G768" t="s">
        <v>63</v>
      </c>
      <c r="H768" t="s">
        <v>180</v>
      </c>
      <c r="I768" t="s">
        <v>181</v>
      </c>
      <c r="J768" t="s">
        <v>28</v>
      </c>
      <c r="K768" t="s">
        <v>48</v>
      </c>
      <c r="L768" t="s">
        <v>2376</v>
      </c>
      <c r="M768" t="s">
        <v>31</v>
      </c>
      <c r="N768">
        <v>9</v>
      </c>
      <c r="O768">
        <v>2307.96</v>
      </c>
      <c r="P768">
        <v>0.2</v>
      </c>
      <c r="Q768">
        <v>16617.310000000001</v>
      </c>
      <c r="R768">
        <v>9195.73</v>
      </c>
      <c r="S768">
        <v>7421.58</v>
      </c>
      <c r="T768" t="s">
        <v>32</v>
      </c>
      <c r="U768" t="s">
        <v>68</v>
      </c>
      <c r="V768">
        <f>IF(OR(B768="Invalid Date",C768="Invalid Date"),"Invalid Date",C768-B768)</f>
        <v>7</v>
      </c>
      <c r="W768" s="4" t="str">
        <f>IF(OR(B768="Invalid Date",C768="Invalid Date"),"Invalid Date",IF(C768&lt;B768,"Invalid Shipping","OK"))</f>
        <v>OK</v>
      </c>
      <c r="X768">
        <f t="shared" si="88"/>
        <v>1</v>
      </c>
      <c r="Y768">
        <f t="shared" si="89"/>
        <v>0.2</v>
      </c>
      <c r="Z768">
        <f t="shared" si="90"/>
        <v>16617.312000000002</v>
      </c>
      <c r="AA768">
        <f t="shared" si="91"/>
        <v>7421.5820000000022</v>
      </c>
      <c r="AB768" s="6">
        <f t="shared" si="92"/>
        <v>0.44661747940942564</v>
      </c>
      <c r="AC768" t="str">
        <f t="shared" si="93"/>
        <v>September</v>
      </c>
      <c r="AD768">
        <f t="shared" si="94"/>
        <v>2024</v>
      </c>
      <c r="AE768" t="str">
        <f t="shared" si="95"/>
        <v>Clean</v>
      </c>
    </row>
    <row r="769" spans="1:31">
      <c r="A769" t="s">
        <v>2377</v>
      </c>
      <c r="B769" s="3">
        <v>45415</v>
      </c>
      <c r="C769" s="3">
        <v>45448</v>
      </c>
      <c r="D769" t="s">
        <v>2378</v>
      </c>
      <c r="E769" t="s">
        <v>62</v>
      </c>
      <c r="F769" t="s">
        <v>95</v>
      </c>
      <c r="G769" t="s">
        <v>25</v>
      </c>
      <c r="H769" t="s">
        <v>136</v>
      </c>
      <c r="I769" t="s">
        <v>137</v>
      </c>
      <c r="J769" t="s">
        <v>28</v>
      </c>
      <c r="K769" t="s">
        <v>153</v>
      </c>
      <c r="L769" t="s">
        <v>2379</v>
      </c>
      <c r="M769" t="s">
        <v>59</v>
      </c>
      <c r="N769">
        <v>1</v>
      </c>
      <c r="O769">
        <v>1244.58</v>
      </c>
      <c r="P769">
        <v>0.25</v>
      </c>
      <c r="Q769">
        <v>933.43</v>
      </c>
      <c r="R769">
        <v>583.09</v>
      </c>
      <c r="S769">
        <v>350.34</v>
      </c>
      <c r="T769" t="s">
        <v>32</v>
      </c>
      <c r="U769" t="s">
        <v>33</v>
      </c>
      <c r="V769">
        <f>IF(OR(B769="Invalid Date",C769="Invalid Date"),"Invalid Date",C769-B769)</f>
        <v>33</v>
      </c>
      <c r="W769" s="4" t="str">
        <f>IF(OR(B769="Invalid Date",C769="Invalid Date"),"Invalid Date",IF(C769&lt;B769,"Invalid Shipping","OK"))</f>
        <v>OK</v>
      </c>
      <c r="X769">
        <f t="shared" si="88"/>
        <v>1</v>
      </c>
      <c r="Y769">
        <f t="shared" si="89"/>
        <v>0.25</v>
      </c>
      <c r="Z769">
        <f t="shared" si="90"/>
        <v>933.43499999999995</v>
      </c>
      <c r="AA769">
        <f t="shared" si="91"/>
        <v>350.34499999999991</v>
      </c>
      <c r="AB769" s="6">
        <f t="shared" si="92"/>
        <v>0.3753287588316272</v>
      </c>
      <c r="AC769" t="str">
        <f t="shared" si="93"/>
        <v>May</v>
      </c>
      <c r="AD769">
        <f t="shared" si="94"/>
        <v>2024</v>
      </c>
      <c r="AE769" t="str">
        <f t="shared" si="95"/>
        <v>Clean</v>
      </c>
    </row>
    <row r="770" spans="1:31">
      <c r="A770" t="s">
        <v>2380</v>
      </c>
      <c r="B770" s="3">
        <v>45749</v>
      </c>
      <c r="C770" s="3">
        <v>45751</v>
      </c>
      <c r="D770" t="s">
        <v>2381</v>
      </c>
      <c r="E770" t="s">
        <v>132</v>
      </c>
      <c r="F770" t="s">
        <v>95</v>
      </c>
      <c r="G770" t="s">
        <v>38</v>
      </c>
      <c r="H770" t="s">
        <v>228</v>
      </c>
      <c r="I770" t="s">
        <v>229</v>
      </c>
      <c r="J770" t="s">
        <v>28</v>
      </c>
      <c r="K770" t="s">
        <v>29</v>
      </c>
      <c r="L770" t="s">
        <v>2382</v>
      </c>
      <c r="M770" t="s">
        <v>44</v>
      </c>
      <c r="N770">
        <v>5</v>
      </c>
      <c r="O770">
        <v>3234.24</v>
      </c>
      <c r="P770">
        <v>0.1</v>
      </c>
      <c r="Q770">
        <v>14554.08</v>
      </c>
      <c r="R770">
        <v>11166.84</v>
      </c>
      <c r="S770">
        <v>3387.24</v>
      </c>
      <c r="T770" t="s">
        <v>32</v>
      </c>
      <c r="U770" t="s">
        <v>33</v>
      </c>
      <c r="V770">
        <f>IF(OR(B770="Invalid Date",C770="Invalid Date"),"Invalid Date",C770-B770)</f>
        <v>2</v>
      </c>
      <c r="W770" s="4" t="str">
        <f>IF(OR(B770="Invalid Date",C770="Invalid Date"),"Invalid Date",IF(C770&lt;B770,"Invalid Shipping","OK"))</f>
        <v>OK</v>
      </c>
      <c r="X770">
        <f t="shared" si="88"/>
        <v>1</v>
      </c>
      <c r="Y770">
        <f t="shared" si="89"/>
        <v>0.1</v>
      </c>
      <c r="Z770">
        <f t="shared" si="90"/>
        <v>14554.08</v>
      </c>
      <c r="AA770">
        <f t="shared" si="91"/>
        <v>3387.24</v>
      </c>
      <c r="AB770" s="6">
        <f t="shared" si="92"/>
        <v>0.23273473830018798</v>
      </c>
      <c r="AC770" t="str">
        <f t="shared" si="93"/>
        <v>April</v>
      </c>
      <c r="AD770">
        <f t="shared" si="94"/>
        <v>2025</v>
      </c>
      <c r="AE770" t="str">
        <f t="shared" si="95"/>
        <v>Clean</v>
      </c>
    </row>
    <row r="771" spans="1:31">
      <c r="A771" t="s">
        <v>2383</v>
      </c>
      <c r="B771" s="3">
        <v>45601</v>
      </c>
      <c r="C771" s="3">
        <v>45425</v>
      </c>
      <c r="D771" t="s">
        <v>2384</v>
      </c>
      <c r="E771" t="s">
        <v>114</v>
      </c>
      <c r="F771" t="s">
        <v>95</v>
      </c>
      <c r="G771" t="s">
        <v>63</v>
      </c>
      <c r="H771" t="s">
        <v>190</v>
      </c>
      <c r="I771" t="s">
        <v>191</v>
      </c>
      <c r="J771" t="s">
        <v>41</v>
      </c>
      <c r="K771" t="s">
        <v>158</v>
      </c>
      <c r="L771" t="s">
        <v>2385</v>
      </c>
      <c r="M771" t="s">
        <v>44</v>
      </c>
      <c r="N771">
        <v>3</v>
      </c>
      <c r="O771">
        <v>3612.75</v>
      </c>
      <c r="P771">
        <v>0.25</v>
      </c>
      <c r="Q771">
        <v>8128.69</v>
      </c>
      <c r="R771">
        <v>5071.66</v>
      </c>
      <c r="S771">
        <v>3057.03</v>
      </c>
      <c r="T771" t="s">
        <v>32</v>
      </c>
      <c r="U771" t="s">
        <v>33</v>
      </c>
      <c r="V771">
        <f>IF(OR(B771="Invalid Date",C771="Invalid Date"),"Invalid Date",C771-B771)</f>
        <v>-176</v>
      </c>
      <c r="W771" s="4" t="str">
        <f>IF(OR(B771="Invalid Date",C771="Invalid Date"),"Invalid Date",IF(C771&lt;B771,"Invalid Shipping","OK"))</f>
        <v>Invalid Shipping</v>
      </c>
      <c r="X771">
        <f t="shared" ref="X771:X834" si="96">COUNTIF($A:$A,A771)</f>
        <v>1</v>
      </c>
      <c r="Y771">
        <f t="shared" ref="Y771:Y834" si="97">IF(P771="",0,IF(OR(P771&lt;0,P771&gt;1),"Invalid",P771))</f>
        <v>0.25</v>
      </c>
      <c r="Z771">
        <f t="shared" ref="Z771:Z834" si="98">IF(ISTEXT(Y771),"",N771*O771*(1-Y771))</f>
        <v>8128.6875</v>
      </c>
      <c r="AA771">
        <f t="shared" ref="AA771:AA834" si="99">IF(Z771="","",Z771-R771)</f>
        <v>3057.0275000000001</v>
      </c>
      <c r="AB771" s="6">
        <f t="shared" ref="AB771:AB834" si="100">IF(OR(Z771="",Z771=0),"",AA771/Z771)</f>
        <v>0.3760788565189645</v>
      </c>
      <c r="AC771" t="str">
        <f t="shared" ref="AC771:AC834" si="101">IF(ISNUMBER(B771),TEXT(B771,"mmmm"),"")</f>
        <v>November</v>
      </c>
      <c r="AD771">
        <f t="shared" ref="AD771:AD834" si="102">IF(ISNUMBER(B771),YEAR(B771),"")</f>
        <v>2024</v>
      </c>
      <c r="AE771" t="str">
        <f t="shared" ref="AE771:AE834" si="103">IF(OR(B771="Invalid Date",C771="Invalid Date",W771="Invalid Date",W771="Invalid Shipping",Y771="Invalid"),"Invalid",IF(OR(G771="Unknown",M771="Unknown"),"Warning","Clean"))</f>
        <v>Invalid</v>
      </c>
    </row>
    <row r="772" spans="1:31">
      <c r="A772" t="s">
        <v>2386</v>
      </c>
      <c r="B772" s="3" t="s">
        <v>2763</v>
      </c>
      <c r="C772" s="3">
        <v>45339</v>
      </c>
      <c r="D772" t="s">
        <v>2387</v>
      </c>
      <c r="E772" t="s">
        <v>79</v>
      </c>
      <c r="F772" t="s">
        <v>24</v>
      </c>
      <c r="G772" t="s">
        <v>25</v>
      </c>
      <c r="H772" t="s">
        <v>136</v>
      </c>
      <c r="I772" t="s">
        <v>137</v>
      </c>
      <c r="J772" t="s">
        <v>74</v>
      </c>
      <c r="K772" t="s">
        <v>80</v>
      </c>
      <c r="L772" t="s">
        <v>2388</v>
      </c>
      <c r="M772" t="s">
        <v>50</v>
      </c>
      <c r="N772">
        <v>4</v>
      </c>
      <c r="O772">
        <v>863</v>
      </c>
      <c r="P772">
        <v>0</v>
      </c>
      <c r="Q772">
        <v>3106.8</v>
      </c>
      <c r="R772">
        <v>2376.62</v>
      </c>
      <c r="S772">
        <v>730.18</v>
      </c>
      <c r="T772" t="s">
        <v>32</v>
      </c>
      <c r="U772" t="s">
        <v>33</v>
      </c>
      <c r="V772" t="str">
        <f>IF(OR(B772="Invalid Date",C772="Invalid Date"),"Invalid Date",C772-B772)</f>
        <v>Invalid Date</v>
      </c>
      <c r="W772" s="4" t="str">
        <f>IF(OR(B772="Invalid Date",C772="Invalid Date"),"Invalid Date",IF(C772&lt;B772,"Invalid Shipping","OK"))</f>
        <v>Invalid Date</v>
      </c>
      <c r="X772">
        <f t="shared" si="96"/>
        <v>1</v>
      </c>
      <c r="Y772">
        <f t="shared" si="97"/>
        <v>0</v>
      </c>
      <c r="Z772">
        <f t="shared" si="98"/>
        <v>3452</v>
      </c>
      <c r="AA772">
        <f t="shared" si="99"/>
        <v>1075.3800000000001</v>
      </c>
      <c r="AB772" s="6">
        <f t="shared" si="100"/>
        <v>0.3115237543453071</v>
      </c>
      <c r="AC772" t="str">
        <f t="shared" si="101"/>
        <v/>
      </c>
      <c r="AD772" t="str">
        <f t="shared" si="102"/>
        <v/>
      </c>
      <c r="AE772" t="str">
        <f t="shared" si="103"/>
        <v>Invalid</v>
      </c>
    </row>
    <row r="773" spans="1:31">
      <c r="A773" t="s">
        <v>2389</v>
      </c>
      <c r="B773" s="3">
        <v>45485</v>
      </c>
      <c r="C773" s="3">
        <v>45487</v>
      </c>
      <c r="D773" t="s">
        <v>468</v>
      </c>
      <c r="E773" t="s">
        <v>62</v>
      </c>
      <c r="F773" t="s">
        <v>24</v>
      </c>
      <c r="G773" t="s">
        <v>25</v>
      </c>
      <c r="H773" t="s">
        <v>236</v>
      </c>
      <c r="I773" t="s">
        <v>237</v>
      </c>
      <c r="J773" t="s">
        <v>74</v>
      </c>
      <c r="K773" t="s">
        <v>274</v>
      </c>
      <c r="L773" t="s">
        <v>2390</v>
      </c>
      <c r="M773" t="s">
        <v>31</v>
      </c>
      <c r="N773">
        <v>4</v>
      </c>
      <c r="O773">
        <v>2131.41</v>
      </c>
      <c r="P773">
        <v>0</v>
      </c>
      <c r="Q773">
        <v>6394.23</v>
      </c>
      <c r="R773">
        <v>3520.69</v>
      </c>
      <c r="S773">
        <v>2873.54</v>
      </c>
      <c r="T773" t="s">
        <v>32</v>
      </c>
      <c r="U773" t="s">
        <v>33</v>
      </c>
      <c r="V773">
        <f>IF(OR(B773="Invalid Date",C773="Invalid Date"),"Invalid Date",C773-B773)</f>
        <v>2</v>
      </c>
      <c r="W773" s="4" t="str">
        <f>IF(OR(B773="Invalid Date",C773="Invalid Date"),"Invalid Date",IF(C773&lt;B773,"Invalid Shipping","OK"))</f>
        <v>OK</v>
      </c>
      <c r="X773">
        <f t="shared" si="96"/>
        <v>1</v>
      </c>
      <c r="Y773">
        <f t="shared" si="97"/>
        <v>0</v>
      </c>
      <c r="Z773">
        <f t="shared" si="98"/>
        <v>8525.64</v>
      </c>
      <c r="AA773">
        <f t="shared" si="99"/>
        <v>5004.9499999999989</v>
      </c>
      <c r="AB773" s="6">
        <f t="shared" si="100"/>
        <v>0.58704683753946907</v>
      </c>
      <c r="AC773" t="str">
        <f t="shared" si="101"/>
        <v>July</v>
      </c>
      <c r="AD773">
        <f t="shared" si="102"/>
        <v>2024</v>
      </c>
      <c r="AE773" t="str">
        <f t="shared" si="103"/>
        <v>Clean</v>
      </c>
    </row>
    <row r="774" spans="1:31">
      <c r="A774" t="s">
        <v>2391</v>
      </c>
      <c r="B774" s="3" t="s">
        <v>2763</v>
      </c>
      <c r="C774" s="3">
        <v>45857</v>
      </c>
      <c r="D774" t="s">
        <v>2392</v>
      </c>
      <c r="E774" t="s">
        <v>162</v>
      </c>
      <c r="F774" t="s">
        <v>24</v>
      </c>
      <c r="G774" t="s">
        <v>54</v>
      </c>
      <c r="H774" t="s">
        <v>247</v>
      </c>
      <c r="I774" t="s">
        <v>248</v>
      </c>
      <c r="J774" t="s">
        <v>41</v>
      </c>
      <c r="K774" t="s">
        <v>66</v>
      </c>
      <c r="L774" t="s">
        <v>2393</v>
      </c>
      <c r="M774" t="s">
        <v>44</v>
      </c>
      <c r="N774">
        <v>1</v>
      </c>
      <c r="O774">
        <v>3903.22</v>
      </c>
      <c r="P774">
        <v>0.05</v>
      </c>
      <c r="Q774">
        <v>3708.06</v>
      </c>
      <c r="R774">
        <v>2760.29</v>
      </c>
      <c r="S774">
        <v>947.77</v>
      </c>
      <c r="T774" t="s">
        <v>111</v>
      </c>
      <c r="U774" t="s">
        <v>68</v>
      </c>
      <c r="V774" t="str">
        <f>IF(OR(B774="Invalid Date",C774="Invalid Date"),"Invalid Date",C774-B774)</f>
        <v>Invalid Date</v>
      </c>
      <c r="W774" s="4" t="str">
        <f>IF(OR(B774="Invalid Date",C774="Invalid Date"),"Invalid Date",IF(C774&lt;B774,"Invalid Shipping","OK"))</f>
        <v>Invalid Date</v>
      </c>
      <c r="X774">
        <f t="shared" si="96"/>
        <v>1</v>
      </c>
      <c r="Y774">
        <f t="shared" si="97"/>
        <v>0.05</v>
      </c>
      <c r="Z774">
        <f t="shared" si="98"/>
        <v>3708.0589999999997</v>
      </c>
      <c r="AA774">
        <f t="shared" si="99"/>
        <v>947.76899999999978</v>
      </c>
      <c r="AB774" s="6">
        <f t="shared" si="100"/>
        <v>0.25559706574248142</v>
      </c>
      <c r="AC774" t="str">
        <f t="shared" si="101"/>
        <v/>
      </c>
      <c r="AD774" t="str">
        <f t="shared" si="102"/>
        <v/>
      </c>
      <c r="AE774" t="str">
        <f t="shared" si="103"/>
        <v>Invalid</v>
      </c>
    </row>
    <row r="775" spans="1:31">
      <c r="A775" t="s">
        <v>2394</v>
      </c>
      <c r="B775" s="3">
        <v>45709</v>
      </c>
      <c r="C775" s="3">
        <v>45709</v>
      </c>
      <c r="D775" t="s">
        <v>2395</v>
      </c>
      <c r="E775" t="s">
        <v>23</v>
      </c>
      <c r="F775" t="s">
        <v>95</v>
      </c>
      <c r="G775" t="s">
        <v>63</v>
      </c>
      <c r="H775" t="s">
        <v>180</v>
      </c>
      <c r="I775" t="s">
        <v>181</v>
      </c>
      <c r="J775" t="s">
        <v>74</v>
      </c>
      <c r="K775" t="s">
        <v>171</v>
      </c>
      <c r="L775" t="s">
        <v>2396</v>
      </c>
      <c r="M775" t="s">
        <v>2767</v>
      </c>
      <c r="N775">
        <v>4</v>
      </c>
      <c r="O775">
        <v>2945.07</v>
      </c>
      <c r="P775">
        <v>0.2</v>
      </c>
      <c r="Q775">
        <v>9424.2199999999993</v>
      </c>
      <c r="R775">
        <v>6178.92</v>
      </c>
      <c r="S775">
        <v>3245.3</v>
      </c>
      <c r="T775" t="s">
        <v>32</v>
      </c>
      <c r="U775" t="s">
        <v>33</v>
      </c>
      <c r="V775">
        <f>IF(OR(B775="Invalid Date",C775="Invalid Date"),"Invalid Date",C775-B775)</f>
        <v>0</v>
      </c>
      <c r="W775" s="4" t="str">
        <f>IF(OR(B775="Invalid Date",C775="Invalid Date"),"Invalid Date",IF(C775&lt;B775,"Invalid Shipping","OK"))</f>
        <v>OK</v>
      </c>
      <c r="X775">
        <f t="shared" si="96"/>
        <v>1</v>
      </c>
      <c r="Y775">
        <f t="shared" si="97"/>
        <v>0.2</v>
      </c>
      <c r="Z775">
        <f t="shared" si="98"/>
        <v>9424.2240000000002</v>
      </c>
      <c r="AA775">
        <f t="shared" si="99"/>
        <v>3245.3040000000001</v>
      </c>
      <c r="AB775" s="6">
        <f t="shared" si="100"/>
        <v>0.3443576892909167</v>
      </c>
      <c r="AC775" t="str">
        <f t="shared" si="101"/>
        <v>February</v>
      </c>
      <c r="AD775">
        <f t="shared" si="102"/>
        <v>2025</v>
      </c>
      <c r="AE775" t="str">
        <f t="shared" si="103"/>
        <v>Warning</v>
      </c>
    </row>
    <row r="776" spans="1:31">
      <c r="A776" t="s">
        <v>2397</v>
      </c>
      <c r="B776" s="3">
        <v>45876</v>
      </c>
      <c r="C776" s="3">
        <v>45876</v>
      </c>
      <c r="D776" t="s">
        <v>2398</v>
      </c>
      <c r="E776" t="s">
        <v>264</v>
      </c>
      <c r="F776" t="s">
        <v>24</v>
      </c>
      <c r="G776" t="s">
        <v>63</v>
      </c>
      <c r="H776" t="s">
        <v>26</v>
      </c>
      <c r="I776" t="s">
        <v>109</v>
      </c>
      <c r="J776" t="s">
        <v>74</v>
      </c>
      <c r="K776" t="s">
        <v>274</v>
      </c>
      <c r="L776" t="s">
        <v>2399</v>
      </c>
      <c r="M776" t="s">
        <v>2767</v>
      </c>
      <c r="N776">
        <v>9</v>
      </c>
      <c r="O776">
        <v>1076.75</v>
      </c>
      <c r="P776">
        <v>0.2</v>
      </c>
      <c r="Q776">
        <v>7752.6</v>
      </c>
      <c r="R776">
        <v>4689.3</v>
      </c>
      <c r="S776">
        <v>3063.3</v>
      </c>
      <c r="T776" t="s">
        <v>32</v>
      </c>
      <c r="U776" t="s">
        <v>33</v>
      </c>
      <c r="V776">
        <f>IF(OR(B776="Invalid Date",C776="Invalid Date"),"Invalid Date",C776-B776)</f>
        <v>0</v>
      </c>
      <c r="W776" s="4" t="str">
        <f>IF(OR(B776="Invalid Date",C776="Invalid Date"),"Invalid Date",IF(C776&lt;B776,"Invalid Shipping","OK"))</f>
        <v>OK</v>
      </c>
      <c r="X776">
        <f t="shared" si="96"/>
        <v>1</v>
      </c>
      <c r="Y776">
        <f t="shared" si="97"/>
        <v>0.2</v>
      </c>
      <c r="Z776">
        <f t="shared" si="98"/>
        <v>7752.6</v>
      </c>
      <c r="AA776">
        <f t="shared" si="99"/>
        <v>3063.3</v>
      </c>
      <c r="AB776" s="6">
        <f t="shared" si="100"/>
        <v>0.39513195573098059</v>
      </c>
      <c r="AC776" t="str">
        <f t="shared" si="101"/>
        <v>August</v>
      </c>
      <c r="AD776">
        <f t="shared" si="102"/>
        <v>2025</v>
      </c>
      <c r="AE776" t="str">
        <f t="shared" si="103"/>
        <v>Warning</v>
      </c>
    </row>
    <row r="777" spans="1:31">
      <c r="A777" t="s">
        <v>2400</v>
      </c>
      <c r="B777" s="3">
        <v>45396</v>
      </c>
      <c r="C777" s="3">
        <v>45404</v>
      </c>
      <c r="D777" t="s">
        <v>2401</v>
      </c>
      <c r="E777" t="s">
        <v>53</v>
      </c>
      <c r="F777" t="s">
        <v>24</v>
      </c>
      <c r="G777" t="s">
        <v>25</v>
      </c>
      <c r="H777" t="s">
        <v>236</v>
      </c>
      <c r="I777" t="s">
        <v>237</v>
      </c>
      <c r="J777" t="s">
        <v>74</v>
      </c>
      <c r="K777" t="s">
        <v>75</v>
      </c>
      <c r="L777" t="s">
        <v>2402</v>
      </c>
      <c r="M777" t="s">
        <v>59</v>
      </c>
      <c r="N777">
        <v>8</v>
      </c>
      <c r="O777">
        <v>3956.12</v>
      </c>
      <c r="P777">
        <v>0.25</v>
      </c>
      <c r="Q777">
        <v>23736.720000000001</v>
      </c>
      <c r="R777">
        <v>13890.9</v>
      </c>
      <c r="S777">
        <v>9845.82</v>
      </c>
      <c r="T777" t="s">
        <v>32</v>
      </c>
      <c r="U777" t="s">
        <v>33</v>
      </c>
      <c r="V777">
        <f>IF(OR(B777="Invalid Date",C777="Invalid Date"),"Invalid Date",C777-B777)</f>
        <v>8</v>
      </c>
      <c r="W777" s="4" t="str">
        <f>IF(OR(B777="Invalid Date",C777="Invalid Date"),"Invalid Date",IF(C777&lt;B777,"Invalid Shipping","OK"))</f>
        <v>OK</v>
      </c>
      <c r="X777">
        <f t="shared" si="96"/>
        <v>1</v>
      </c>
      <c r="Y777">
        <f t="shared" si="97"/>
        <v>0.25</v>
      </c>
      <c r="Z777">
        <f t="shared" si="98"/>
        <v>23736.720000000001</v>
      </c>
      <c r="AA777">
        <f t="shared" si="99"/>
        <v>9845.8200000000015</v>
      </c>
      <c r="AB777" s="6">
        <f t="shared" si="100"/>
        <v>0.41479277676106896</v>
      </c>
      <c r="AC777" t="str">
        <f t="shared" si="101"/>
        <v>April</v>
      </c>
      <c r="AD777">
        <f t="shared" si="102"/>
        <v>2024</v>
      </c>
      <c r="AE777" t="str">
        <f t="shared" si="103"/>
        <v>Clean</v>
      </c>
    </row>
    <row r="778" spans="1:31">
      <c r="A778" t="s">
        <v>2403</v>
      </c>
      <c r="B778" s="3">
        <v>45816</v>
      </c>
      <c r="C778" s="3" t="s">
        <v>2763</v>
      </c>
      <c r="D778" t="s">
        <v>2404</v>
      </c>
      <c r="E778" t="s">
        <v>89</v>
      </c>
      <c r="F778" t="s">
        <v>37</v>
      </c>
      <c r="G778" t="s">
        <v>25</v>
      </c>
      <c r="H778" t="s">
        <v>26</v>
      </c>
      <c r="I778" t="s">
        <v>27</v>
      </c>
      <c r="J778" t="s">
        <v>74</v>
      </c>
      <c r="K778" t="s">
        <v>80</v>
      </c>
      <c r="L778" t="s">
        <v>2405</v>
      </c>
      <c r="M778" t="s">
        <v>31</v>
      </c>
      <c r="N778">
        <v>7</v>
      </c>
      <c r="O778">
        <v>3857.13</v>
      </c>
      <c r="P778">
        <v>0</v>
      </c>
      <c r="Q778">
        <v>26999.91</v>
      </c>
      <c r="R778">
        <v>17815.98</v>
      </c>
      <c r="S778">
        <v>9183.93</v>
      </c>
      <c r="T778" t="s">
        <v>32</v>
      </c>
      <c r="U778" t="s">
        <v>33</v>
      </c>
      <c r="V778" t="str">
        <f>IF(OR(B778="Invalid Date",C778="Invalid Date"),"Invalid Date",C778-B778)</f>
        <v>Invalid Date</v>
      </c>
      <c r="W778" s="4" t="str">
        <f>IF(OR(B778="Invalid Date",C778="Invalid Date"),"Invalid Date",IF(C778&lt;B778,"Invalid Shipping","OK"))</f>
        <v>Invalid Date</v>
      </c>
      <c r="X778">
        <f t="shared" si="96"/>
        <v>1</v>
      </c>
      <c r="Y778">
        <f t="shared" si="97"/>
        <v>0</v>
      </c>
      <c r="Z778">
        <f t="shared" si="98"/>
        <v>26999.91</v>
      </c>
      <c r="AA778">
        <f t="shared" si="99"/>
        <v>9183.93</v>
      </c>
      <c r="AB778" s="6">
        <f t="shared" si="100"/>
        <v>0.34014668937785347</v>
      </c>
      <c r="AC778" t="str">
        <f t="shared" si="101"/>
        <v>June</v>
      </c>
      <c r="AD778">
        <f t="shared" si="102"/>
        <v>2025</v>
      </c>
      <c r="AE778" t="str">
        <f t="shared" si="103"/>
        <v>Invalid</v>
      </c>
    </row>
    <row r="779" spans="1:31">
      <c r="A779" t="s">
        <v>2406</v>
      </c>
      <c r="B779" s="3">
        <v>45326</v>
      </c>
      <c r="C779" s="3">
        <v>45328</v>
      </c>
      <c r="D779" t="s">
        <v>2407</v>
      </c>
      <c r="E779" t="s">
        <v>264</v>
      </c>
      <c r="F779" t="s">
        <v>37</v>
      </c>
      <c r="G779" t="s">
        <v>63</v>
      </c>
      <c r="H779" t="s">
        <v>72</v>
      </c>
      <c r="I779" t="s">
        <v>73</v>
      </c>
      <c r="J779" t="s">
        <v>74</v>
      </c>
      <c r="K779" t="s">
        <v>75</v>
      </c>
      <c r="L779" t="s">
        <v>2408</v>
      </c>
      <c r="M779" t="s">
        <v>31</v>
      </c>
      <c r="N779">
        <v>4</v>
      </c>
      <c r="O779">
        <v>1489.74</v>
      </c>
      <c r="P779">
        <v>0.15</v>
      </c>
      <c r="Q779">
        <v>5065.12</v>
      </c>
      <c r="R779">
        <v>3530.12</v>
      </c>
      <c r="S779">
        <v>1535</v>
      </c>
      <c r="T779" t="s">
        <v>155</v>
      </c>
      <c r="U779" t="s">
        <v>68</v>
      </c>
      <c r="V779">
        <f>IF(OR(B779="Invalid Date",C779="Invalid Date"),"Invalid Date",C779-B779)</f>
        <v>2</v>
      </c>
      <c r="W779" s="4" t="str">
        <f>IF(OR(B779="Invalid Date",C779="Invalid Date"),"Invalid Date",IF(C779&lt;B779,"Invalid Shipping","OK"))</f>
        <v>OK</v>
      </c>
      <c r="X779">
        <f t="shared" si="96"/>
        <v>1</v>
      </c>
      <c r="Y779">
        <f t="shared" si="97"/>
        <v>0.15</v>
      </c>
      <c r="Z779">
        <f t="shared" si="98"/>
        <v>5065.116</v>
      </c>
      <c r="AA779">
        <f t="shared" si="99"/>
        <v>1534.9960000000001</v>
      </c>
      <c r="AB779" s="6">
        <f t="shared" si="100"/>
        <v>0.30305248685321323</v>
      </c>
      <c r="AC779" t="str">
        <f t="shared" si="101"/>
        <v>February</v>
      </c>
      <c r="AD779">
        <f t="shared" si="102"/>
        <v>2024</v>
      </c>
      <c r="AE779" t="str">
        <f t="shared" si="103"/>
        <v>Clean</v>
      </c>
    </row>
    <row r="780" spans="1:31">
      <c r="A780" t="s">
        <v>2409</v>
      </c>
      <c r="B780" s="3" t="s">
        <v>2763</v>
      </c>
      <c r="C780" s="3">
        <v>45497</v>
      </c>
      <c r="D780" t="s">
        <v>2410</v>
      </c>
      <c r="E780" t="s">
        <v>23</v>
      </c>
      <c r="F780" t="s">
        <v>37</v>
      </c>
      <c r="G780" t="s">
        <v>25</v>
      </c>
      <c r="H780" t="s">
        <v>236</v>
      </c>
      <c r="I780" t="s">
        <v>237</v>
      </c>
      <c r="J780" t="s">
        <v>74</v>
      </c>
      <c r="K780" t="s">
        <v>80</v>
      </c>
      <c r="L780" t="s">
        <v>2411</v>
      </c>
      <c r="M780" t="s">
        <v>31</v>
      </c>
      <c r="N780">
        <v>4</v>
      </c>
      <c r="O780">
        <v>1676.88</v>
      </c>
      <c r="P780">
        <v>0</v>
      </c>
      <c r="Q780">
        <v>6707.52</v>
      </c>
      <c r="R780">
        <v>5672.57</v>
      </c>
      <c r="S780">
        <v>1034.95</v>
      </c>
      <c r="T780" t="s">
        <v>32</v>
      </c>
      <c r="U780" t="s">
        <v>33</v>
      </c>
      <c r="V780" t="str">
        <f>IF(OR(B780="Invalid Date",C780="Invalid Date"),"Invalid Date",C780-B780)</f>
        <v>Invalid Date</v>
      </c>
      <c r="W780" s="4" t="str">
        <f>IF(OR(B780="Invalid Date",C780="Invalid Date"),"Invalid Date",IF(C780&lt;B780,"Invalid Shipping","OK"))</f>
        <v>Invalid Date</v>
      </c>
      <c r="X780">
        <f t="shared" si="96"/>
        <v>1</v>
      </c>
      <c r="Y780">
        <f t="shared" si="97"/>
        <v>0</v>
      </c>
      <c r="Z780">
        <f t="shared" si="98"/>
        <v>6707.52</v>
      </c>
      <c r="AA780">
        <f t="shared" si="99"/>
        <v>1034.9500000000007</v>
      </c>
      <c r="AB780" s="6">
        <f t="shared" si="100"/>
        <v>0.15429696817899918</v>
      </c>
      <c r="AC780" t="str">
        <f t="shared" si="101"/>
        <v/>
      </c>
      <c r="AD780" t="str">
        <f t="shared" si="102"/>
        <v/>
      </c>
      <c r="AE780" t="str">
        <f t="shared" si="103"/>
        <v>Invalid</v>
      </c>
    </row>
    <row r="781" spans="1:31">
      <c r="A781" t="s">
        <v>2412</v>
      </c>
      <c r="B781" s="3" t="s">
        <v>2763</v>
      </c>
      <c r="C781" s="3">
        <v>45311</v>
      </c>
      <c r="D781" t="s">
        <v>2413</v>
      </c>
      <c r="E781" t="s">
        <v>114</v>
      </c>
      <c r="F781" t="s">
        <v>37</v>
      </c>
      <c r="G781" t="s">
        <v>54</v>
      </c>
      <c r="H781" t="s">
        <v>84</v>
      </c>
      <c r="I781" t="s">
        <v>85</v>
      </c>
      <c r="J781" t="s">
        <v>41</v>
      </c>
      <c r="K781" t="s">
        <v>66</v>
      </c>
      <c r="L781" t="s">
        <v>2414</v>
      </c>
      <c r="M781" t="s">
        <v>59</v>
      </c>
      <c r="N781">
        <v>4</v>
      </c>
      <c r="O781">
        <v>3153.54</v>
      </c>
      <c r="P781">
        <v>0.05</v>
      </c>
      <c r="Q781">
        <v>11983.45</v>
      </c>
      <c r="R781">
        <v>8572.9</v>
      </c>
      <c r="S781">
        <v>3410.55</v>
      </c>
      <c r="T781" t="s">
        <v>32</v>
      </c>
      <c r="U781" t="s">
        <v>33</v>
      </c>
      <c r="V781" t="str">
        <f>IF(OR(B781="Invalid Date",C781="Invalid Date"),"Invalid Date",C781-B781)</f>
        <v>Invalid Date</v>
      </c>
      <c r="W781" s="4" t="str">
        <f>IF(OR(B781="Invalid Date",C781="Invalid Date"),"Invalid Date",IF(C781&lt;B781,"Invalid Shipping","OK"))</f>
        <v>Invalid Date</v>
      </c>
      <c r="X781">
        <f t="shared" si="96"/>
        <v>1</v>
      </c>
      <c r="Y781">
        <f t="shared" si="97"/>
        <v>0.05</v>
      </c>
      <c r="Z781">
        <f t="shared" si="98"/>
        <v>11983.451999999999</v>
      </c>
      <c r="AA781">
        <f t="shared" si="99"/>
        <v>3410.5519999999997</v>
      </c>
      <c r="AB781" s="6">
        <f t="shared" si="100"/>
        <v>0.2846051371507976</v>
      </c>
      <c r="AC781" t="str">
        <f t="shared" si="101"/>
        <v/>
      </c>
      <c r="AD781" t="str">
        <f t="shared" si="102"/>
        <v/>
      </c>
      <c r="AE781" t="str">
        <f t="shared" si="103"/>
        <v>Invalid</v>
      </c>
    </row>
    <row r="782" spans="1:31">
      <c r="A782" t="s">
        <v>2415</v>
      </c>
      <c r="B782" s="3">
        <v>45508</v>
      </c>
      <c r="C782" s="3">
        <v>45573</v>
      </c>
      <c r="D782" t="s">
        <v>2416</v>
      </c>
      <c r="E782" t="s">
        <v>162</v>
      </c>
      <c r="F782" t="s">
        <v>37</v>
      </c>
      <c r="G782" t="s">
        <v>63</v>
      </c>
      <c r="H782" t="s">
        <v>26</v>
      </c>
      <c r="I782" t="s">
        <v>109</v>
      </c>
      <c r="J782" t="s">
        <v>41</v>
      </c>
      <c r="K782" t="s">
        <v>66</v>
      </c>
      <c r="L782" t="s">
        <v>2417</v>
      </c>
      <c r="M782" t="s">
        <v>44</v>
      </c>
      <c r="N782">
        <v>4</v>
      </c>
      <c r="O782">
        <v>426.43</v>
      </c>
      <c r="P782">
        <v>0.2</v>
      </c>
      <c r="Q782">
        <v>1364.58</v>
      </c>
      <c r="R782">
        <v>978.16</v>
      </c>
      <c r="S782">
        <v>386.42</v>
      </c>
      <c r="T782" t="s">
        <v>32</v>
      </c>
      <c r="U782" t="s">
        <v>33</v>
      </c>
      <c r="V782">
        <f>IF(OR(B782="Invalid Date",C782="Invalid Date"),"Invalid Date",C782-B782)</f>
        <v>65</v>
      </c>
      <c r="W782" s="4" t="str">
        <f>IF(OR(B782="Invalid Date",C782="Invalid Date"),"Invalid Date",IF(C782&lt;B782,"Invalid Shipping","OK"))</f>
        <v>OK</v>
      </c>
      <c r="X782">
        <f t="shared" si="96"/>
        <v>1</v>
      </c>
      <c r="Y782">
        <f t="shared" si="97"/>
        <v>0.2</v>
      </c>
      <c r="Z782">
        <f t="shared" si="98"/>
        <v>1364.576</v>
      </c>
      <c r="AA782">
        <f t="shared" si="99"/>
        <v>386.41600000000005</v>
      </c>
      <c r="AB782" s="6">
        <f t="shared" si="100"/>
        <v>0.28317660577351506</v>
      </c>
      <c r="AC782" t="str">
        <f t="shared" si="101"/>
        <v>August</v>
      </c>
      <c r="AD782">
        <f t="shared" si="102"/>
        <v>2024</v>
      </c>
      <c r="AE782" t="str">
        <f t="shared" si="103"/>
        <v>Clean</v>
      </c>
    </row>
    <row r="783" spans="1:31">
      <c r="A783" t="s">
        <v>2418</v>
      </c>
      <c r="B783" s="3">
        <v>45324</v>
      </c>
      <c r="C783" s="3">
        <v>45332</v>
      </c>
      <c r="D783" t="s">
        <v>2419</v>
      </c>
      <c r="E783" t="s">
        <v>23</v>
      </c>
      <c r="F783" t="s">
        <v>95</v>
      </c>
      <c r="G783" t="s">
        <v>63</v>
      </c>
      <c r="H783" t="s">
        <v>26</v>
      </c>
      <c r="I783" t="s">
        <v>109</v>
      </c>
      <c r="J783" t="s">
        <v>28</v>
      </c>
      <c r="K783" t="s">
        <v>91</v>
      </c>
      <c r="L783" t="s">
        <v>2420</v>
      </c>
      <c r="M783" t="s">
        <v>50</v>
      </c>
      <c r="N783">
        <v>3</v>
      </c>
      <c r="O783">
        <v>383.4</v>
      </c>
      <c r="P783">
        <v>0.25</v>
      </c>
      <c r="Q783">
        <v>862.65</v>
      </c>
      <c r="R783">
        <v>603.73</v>
      </c>
      <c r="S783">
        <v>258.92</v>
      </c>
      <c r="T783" t="s">
        <v>111</v>
      </c>
      <c r="U783" t="s">
        <v>103</v>
      </c>
      <c r="V783">
        <f>IF(OR(B783="Invalid Date",C783="Invalid Date"),"Invalid Date",C783-B783)</f>
        <v>8</v>
      </c>
      <c r="W783" s="4" t="str">
        <f>IF(OR(B783="Invalid Date",C783="Invalid Date"),"Invalid Date",IF(C783&lt;B783,"Invalid Shipping","OK"))</f>
        <v>OK</v>
      </c>
      <c r="X783">
        <f t="shared" si="96"/>
        <v>1</v>
      </c>
      <c r="Y783">
        <f t="shared" si="97"/>
        <v>0.25</v>
      </c>
      <c r="Z783">
        <f t="shared" si="98"/>
        <v>862.64999999999986</v>
      </c>
      <c r="AA783">
        <f t="shared" si="99"/>
        <v>258.91999999999985</v>
      </c>
      <c r="AB783" s="6">
        <f t="shared" si="100"/>
        <v>0.30014490233582553</v>
      </c>
      <c r="AC783" t="str">
        <f t="shared" si="101"/>
        <v>February</v>
      </c>
      <c r="AD783">
        <f t="shared" si="102"/>
        <v>2024</v>
      </c>
      <c r="AE783" t="str">
        <f t="shared" si="103"/>
        <v>Clean</v>
      </c>
    </row>
    <row r="784" spans="1:31">
      <c r="A784" t="s">
        <v>2421</v>
      </c>
      <c r="B784" s="3">
        <v>45730</v>
      </c>
      <c r="C784" s="3" t="s">
        <v>2763</v>
      </c>
      <c r="D784" t="s">
        <v>2422</v>
      </c>
      <c r="E784" t="s">
        <v>36</v>
      </c>
      <c r="F784" t="s">
        <v>90</v>
      </c>
      <c r="G784" t="s">
        <v>38</v>
      </c>
      <c r="H784" t="s">
        <v>99</v>
      </c>
      <c r="I784" t="s">
        <v>100</v>
      </c>
      <c r="J784" t="s">
        <v>74</v>
      </c>
      <c r="K784" t="s">
        <v>80</v>
      </c>
      <c r="L784" t="s">
        <v>2423</v>
      </c>
      <c r="M784" t="s">
        <v>59</v>
      </c>
      <c r="N784">
        <v>2</v>
      </c>
      <c r="O784">
        <v>669.63</v>
      </c>
      <c r="P784">
        <v>0.15</v>
      </c>
      <c r="Q784">
        <v>1138.3699999999999</v>
      </c>
      <c r="R784">
        <v>797.34</v>
      </c>
      <c r="S784">
        <v>341.03</v>
      </c>
      <c r="T784" t="s">
        <v>32</v>
      </c>
      <c r="U784" t="s">
        <v>33</v>
      </c>
      <c r="V784" t="str">
        <f>IF(OR(B784="Invalid Date",C784="Invalid Date"),"Invalid Date",C784-B784)</f>
        <v>Invalid Date</v>
      </c>
      <c r="W784" s="4" t="str">
        <f>IF(OR(B784="Invalid Date",C784="Invalid Date"),"Invalid Date",IF(C784&lt;B784,"Invalid Shipping","OK"))</f>
        <v>Invalid Date</v>
      </c>
      <c r="X784">
        <f t="shared" si="96"/>
        <v>1</v>
      </c>
      <c r="Y784">
        <f t="shared" si="97"/>
        <v>0.15</v>
      </c>
      <c r="Z784">
        <f t="shared" si="98"/>
        <v>1138.3709999999999</v>
      </c>
      <c r="AA784">
        <f t="shared" si="99"/>
        <v>341.03099999999984</v>
      </c>
      <c r="AB784" s="6">
        <f t="shared" si="100"/>
        <v>0.29957808131092578</v>
      </c>
      <c r="AC784" t="str">
        <f t="shared" si="101"/>
        <v>March</v>
      </c>
      <c r="AD784">
        <f t="shared" si="102"/>
        <v>2025</v>
      </c>
      <c r="AE784" t="str">
        <f t="shared" si="103"/>
        <v>Invalid</v>
      </c>
    </row>
    <row r="785" spans="1:31">
      <c r="A785" t="s">
        <v>2424</v>
      </c>
      <c r="B785" s="3">
        <v>45450</v>
      </c>
      <c r="C785" s="3">
        <v>45450</v>
      </c>
      <c r="D785" t="s">
        <v>2425</v>
      </c>
      <c r="E785" t="s">
        <v>128</v>
      </c>
      <c r="F785" t="s">
        <v>37</v>
      </c>
      <c r="G785" t="s">
        <v>38</v>
      </c>
      <c r="H785" t="s">
        <v>145</v>
      </c>
      <c r="I785" t="s">
        <v>146</v>
      </c>
      <c r="J785" t="s">
        <v>28</v>
      </c>
      <c r="K785" t="s">
        <v>48</v>
      </c>
      <c r="L785" t="s">
        <v>2426</v>
      </c>
      <c r="M785" t="s">
        <v>31</v>
      </c>
      <c r="N785">
        <v>1</v>
      </c>
      <c r="O785">
        <v>2581.9299999999998</v>
      </c>
      <c r="P785">
        <v>0.05</v>
      </c>
      <c r="Q785">
        <v>2452.83</v>
      </c>
      <c r="R785">
        <v>1906.7</v>
      </c>
      <c r="S785">
        <v>546.13</v>
      </c>
      <c r="T785" t="s">
        <v>32</v>
      </c>
      <c r="U785" t="s">
        <v>33</v>
      </c>
      <c r="V785">
        <f>IF(OR(B785="Invalid Date",C785="Invalid Date"),"Invalid Date",C785-B785)</f>
        <v>0</v>
      </c>
      <c r="W785" s="4" t="str">
        <f>IF(OR(B785="Invalid Date",C785="Invalid Date"),"Invalid Date",IF(C785&lt;B785,"Invalid Shipping","OK"))</f>
        <v>OK</v>
      </c>
      <c r="X785">
        <f t="shared" si="96"/>
        <v>1</v>
      </c>
      <c r="Y785">
        <f t="shared" si="97"/>
        <v>0.05</v>
      </c>
      <c r="Z785">
        <f t="shared" si="98"/>
        <v>2452.8334999999997</v>
      </c>
      <c r="AA785">
        <f t="shared" si="99"/>
        <v>546.13349999999969</v>
      </c>
      <c r="AB785" s="6">
        <f t="shared" si="100"/>
        <v>0.22265412634000625</v>
      </c>
      <c r="AC785" t="str">
        <f t="shared" si="101"/>
        <v>June</v>
      </c>
      <c r="AD785">
        <f t="shared" si="102"/>
        <v>2024</v>
      </c>
      <c r="AE785" t="str">
        <f t="shared" si="103"/>
        <v>Clean</v>
      </c>
    </row>
    <row r="786" spans="1:31">
      <c r="A786" t="s">
        <v>2427</v>
      </c>
      <c r="B786" s="3">
        <v>45757</v>
      </c>
      <c r="C786" s="3">
        <v>45935</v>
      </c>
      <c r="D786" t="s">
        <v>2428</v>
      </c>
      <c r="E786" t="s">
        <v>114</v>
      </c>
      <c r="F786" t="s">
        <v>90</v>
      </c>
      <c r="G786" t="s">
        <v>25</v>
      </c>
      <c r="H786" t="s">
        <v>122</v>
      </c>
      <c r="I786" t="s">
        <v>123</v>
      </c>
      <c r="J786" t="s">
        <v>74</v>
      </c>
      <c r="K786" t="s">
        <v>80</v>
      </c>
      <c r="L786" t="s">
        <v>2429</v>
      </c>
      <c r="M786" t="s">
        <v>50</v>
      </c>
      <c r="N786">
        <v>4</v>
      </c>
      <c r="O786">
        <v>418.18</v>
      </c>
      <c r="P786">
        <v>0.05</v>
      </c>
      <c r="Q786">
        <v>1589.08</v>
      </c>
      <c r="R786">
        <v>1084.6600000000001</v>
      </c>
      <c r="S786">
        <v>504.42</v>
      </c>
      <c r="T786" t="s">
        <v>32</v>
      </c>
      <c r="U786" t="s">
        <v>33</v>
      </c>
      <c r="V786">
        <f>IF(OR(B786="Invalid Date",C786="Invalid Date"),"Invalid Date",C786-B786)</f>
        <v>178</v>
      </c>
      <c r="W786" s="4" t="str">
        <f>IF(OR(B786="Invalid Date",C786="Invalid Date"),"Invalid Date",IF(C786&lt;B786,"Invalid Shipping","OK"))</f>
        <v>OK</v>
      </c>
      <c r="X786">
        <f t="shared" si="96"/>
        <v>1</v>
      </c>
      <c r="Y786">
        <f t="shared" si="97"/>
        <v>0.05</v>
      </c>
      <c r="Z786">
        <f t="shared" si="98"/>
        <v>1589.0840000000001</v>
      </c>
      <c r="AA786">
        <f t="shared" si="99"/>
        <v>504.42399999999998</v>
      </c>
      <c r="AB786" s="6">
        <f t="shared" si="100"/>
        <v>0.31743067075120002</v>
      </c>
      <c r="AC786" t="str">
        <f t="shared" si="101"/>
        <v>April</v>
      </c>
      <c r="AD786">
        <f t="shared" si="102"/>
        <v>2025</v>
      </c>
      <c r="AE786" t="str">
        <f t="shared" si="103"/>
        <v>Clean</v>
      </c>
    </row>
    <row r="787" spans="1:31">
      <c r="A787" t="s">
        <v>2430</v>
      </c>
      <c r="B787" s="3">
        <v>45435</v>
      </c>
      <c r="C787" s="3">
        <v>45441</v>
      </c>
      <c r="D787" t="s">
        <v>2431</v>
      </c>
      <c r="E787" t="s">
        <v>162</v>
      </c>
      <c r="F787" t="s">
        <v>37</v>
      </c>
      <c r="G787" t="s">
        <v>25</v>
      </c>
      <c r="H787" t="s">
        <v>236</v>
      </c>
      <c r="I787" t="s">
        <v>237</v>
      </c>
      <c r="J787" t="s">
        <v>28</v>
      </c>
      <c r="K787" t="s">
        <v>124</v>
      </c>
      <c r="L787" t="s">
        <v>2432</v>
      </c>
      <c r="M787" t="s">
        <v>44</v>
      </c>
      <c r="N787">
        <v>2</v>
      </c>
      <c r="O787">
        <v>3012.94</v>
      </c>
      <c r="P787">
        <v>0.25</v>
      </c>
      <c r="Q787">
        <v>4519.41</v>
      </c>
      <c r="R787">
        <v>3504.16</v>
      </c>
      <c r="S787">
        <v>1275.55</v>
      </c>
      <c r="T787" t="s">
        <v>155</v>
      </c>
      <c r="U787" t="s">
        <v>68</v>
      </c>
      <c r="V787">
        <f>IF(OR(B787="Invalid Date",C787="Invalid Date"),"Invalid Date",C787-B787)</f>
        <v>6</v>
      </c>
      <c r="W787" s="4" t="str">
        <f>IF(OR(B787="Invalid Date",C787="Invalid Date"),"Invalid Date",IF(C787&lt;B787,"Invalid Shipping","OK"))</f>
        <v>OK</v>
      </c>
      <c r="X787">
        <f t="shared" si="96"/>
        <v>1</v>
      </c>
      <c r="Y787">
        <f t="shared" si="97"/>
        <v>0.25</v>
      </c>
      <c r="Z787">
        <f t="shared" si="98"/>
        <v>4519.41</v>
      </c>
      <c r="AA787">
        <f t="shared" si="99"/>
        <v>1015.25</v>
      </c>
      <c r="AB787" s="6">
        <f t="shared" si="100"/>
        <v>0.22464215461752751</v>
      </c>
      <c r="AC787" t="str">
        <f t="shared" si="101"/>
        <v>May</v>
      </c>
      <c r="AD787">
        <f t="shared" si="102"/>
        <v>2024</v>
      </c>
      <c r="AE787" t="str">
        <f t="shared" si="103"/>
        <v>Clean</v>
      </c>
    </row>
    <row r="788" spans="1:31">
      <c r="A788" t="s">
        <v>2433</v>
      </c>
      <c r="B788" s="3">
        <v>45815</v>
      </c>
      <c r="C788" s="3">
        <v>45846</v>
      </c>
      <c r="D788" t="s">
        <v>2434</v>
      </c>
      <c r="E788" t="s">
        <v>62</v>
      </c>
      <c r="F788" t="s">
        <v>90</v>
      </c>
      <c r="G788" t="s">
        <v>25</v>
      </c>
      <c r="H788" t="s">
        <v>26</v>
      </c>
      <c r="I788" t="s">
        <v>27</v>
      </c>
      <c r="J788" t="s">
        <v>41</v>
      </c>
      <c r="K788" t="s">
        <v>57</v>
      </c>
      <c r="L788" t="s">
        <v>2435</v>
      </c>
      <c r="M788" t="s">
        <v>2767</v>
      </c>
      <c r="N788">
        <v>4</v>
      </c>
      <c r="O788">
        <v>715.45</v>
      </c>
      <c r="P788">
        <v>0.05</v>
      </c>
      <c r="Q788">
        <v>2718.71</v>
      </c>
      <c r="R788">
        <v>2065.0500000000002</v>
      </c>
      <c r="S788">
        <v>653.66</v>
      </c>
      <c r="T788" t="s">
        <v>102</v>
      </c>
      <c r="U788" t="s">
        <v>103</v>
      </c>
      <c r="V788">
        <f>IF(OR(B788="Invalid Date",C788="Invalid Date"),"Invalid Date",C788-B788)</f>
        <v>31</v>
      </c>
      <c r="W788" s="4" t="str">
        <f>IF(OR(B788="Invalid Date",C788="Invalid Date"),"Invalid Date",IF(C788&lt;B788,"Invalid Shipping","OK"))</f>
        <v>OK</v>
      </c>
      <c r="X788">
        <f t="shared" si="96"/>
        <v>1</v>
      </c>
      <c r="Y788">
        <f t="shared" si="97"/>
        <v>0.05</v>
      </c>
      <c r="Z788">
        <f t="shared" si="98"/>
        <v>2718.71</v>
      </c>
      <c r="AA788">
        <f t="shared" si="99"/>
        <v>653.65999999999985</v>
      </c>
      <c r="AB788" s="6">
        <f t="shared" si="100"/>
        <v>0.24043020403058799</v>
      </c>
      <c r="AC788" t="str">
        <f t="shared" si="101"/>
        <v>June</v>
      </c>
      <c r="AD788">
        <f t="shared" si="102"/>
        <v>2025</v>
      </c>
      <c r="AE788" t="str">
        <f t="shared" si="103"/>
        <v>Warning</v>
      </c>
    </row>
    <row r="789" spans="1:31">
      <c r="A789" t="s">
        <v>2436</v>
      </c>
      <c r="B789" s="3">
        <v>45547</v>
      </c>
      <c r="C789" s="3">
        <v>45553</v>
      </c>
      <c r="D789" t="s">
        <v>2437</v>
      </c>
      <c r="E789" t="s">
        <v>62</v>
      </c>
      <c r="F789" t="s">
        <v>95</v>
      </c>
      <c r="G789" t="s">
        <v>38</v>
      </c>
      <c r="H789" t="s">
        <v>145</v>
      </c>
      <c r="I789" t="s">
        <v>146</v>
      </c>
      <c r="J789" t="s">
        <v>28</v>
      </c>
      <c r="K789" t="s">
        <v>29</v>
      </c>
      <c r="L789" t="s">
        <v>2438</v>
      </c>
      <c r="M789" t="s">
        <v>31</v>
      </c>
      <c r="N789">
        <v>2</v>
      </c>
      <c r="O789">
        <v>3718.77</v>
      </c>
      <c r="P789">
        <v>0.05</v>
      </c>
      <c r="Q789">
        <v>7065.66</v>
      </c>
      <c r="R789">
        <v>4915.2700000000004</v>
      </c>
      <c r="S789">
        <v>2150.39</v>
      </c>
      <c r="T789" t="s">
        <v>32</v>
      </c>
      <c r="U789" t="s">
        <v>33</v>
      </c>
      <c r="V789">
        <f>IF(OR(B789="Invalid Date",C789="Invalid Date"),"Invalid Date",C789-B789)</f>
        <v>6</v>
      </c>
      <c r="W789" s="4" t="str">
        <f>IF(OR(B789="Invalid Date",C789="Invalid Date"),"Invalid Date",IF(C789&lt;B789,"Invalid Shipping","OK"))</f>
        <v>OK</v>
      </c>
      <c r="X789">
        <f t="shared" si="96"/>
        <v>1</v>
      </c>
      <c r="Y789">
        <f t="shared" si="97"/>
        <v>0.05</v>
      </c>
      <c r="Z789">
        <f t="shared" si="98"/>
        <v>7065.6629999999996</v>
      </c>
      <c r="AA789">
        <f t="shared" si="99"/>
        <v>2150.3929999999991</v>
      </c>
      <c r="AB789" s="6">
        <f t="shared" si="100"/>
        <v>0.30434412170521002</v>
      </c>
      <c r="AC789" t="str">
        <f t="shared" si="101"/>
        <v>September</v>
      </c>
      <c r="AD789">
        <f t="shared" si="102"/>
        <v>2024</v>
      </c>
      <c r="AE789" t="str">
        <f t="shared" si="103"/>
        <v>Clean</v>
      </c>
    </row>
    <row r="790" spans="1:31">
      <c r="A790" t="s">
        <v>2439</v>
      </c>
      <c r="B790" s="3">
        <v>45505</v>
      </c>
      <c r="C790" s="3">
        <v>45506</v>
      </c>
      <c r="D790" t="s">
        <v>2440</v>
      </c>
      <c r="E790" t="s">
        <v>47</v>
      </c>
      <c r="F790" t="s">
        <v>90</v>
      </c>
      <c r="G790" t="s">
        <v>25</v>
      </c>
      <c r="H790" t="s">
        <v>136</v>
      </c>
      <c r="I790" t="s">
        <v>137</v>
      </c>
      <c r="J790" t="s">
        <v>41</v>
      </c>
      <c r="K790" t="s">
        <v>66</v>
      </c>
      <c r="L790" t="s">
        <v>2441</v>
      </c>
      <c r="M790" t="s">
        <v>59</v>
      </c>
      <c r="N790">
        <v>8</v>
      </c>
      <c r="O790">
        <v>2487.64</v>
      </c>
      <c r="P790">
        <v>0.1</v>
      </c>
      <c r="Q790">
        <v>17911.009999999998</v>
      </c>
      <c r="R790">
        <v>11546.05</v>
      </c>
      <c r="S790">
        <v>6364.96</v>
      </c>
      <c r="T790" t="s">
        <v>155</v>
      </c>
      <c r="U790" t="s">
        <v>103</v>
      </c>
      <c r="V790">
        <f>IF(OR(B790="Invalid Date",C790="Invalid Date"),"Invalid Date",C790-B790)</f>
        <v>1</v>
      </c>
      <c r="W790" s="4" t="str">
        <f>IF(OR(B790="Invalid Date",C790="Invalid Date"),"Invalid Date",IF(C790&lt;B790,"Invalid Shipping","OK"))</f>
        <v>OK</v>
      </c>
      <c r="X790">
        <f t="shared" si="96"/>
        <v>1</v>
      </c>
      <c r="Y790">
        <f t="shared" si="97"/>
        <v>0.1</v>
      </c>
      <c r="Z790">
        <f t="shared" si="98"/>
        <v>17911.007999999998</v>
      </c>
      <c r="AA790">
        <f t="shared" si="99"/>
        <v>6364.9579999999987</v>
      </c>
      <c r="AB790" s="6">
        <f t="shared" si="100"/>
        <v>0.35536570582738836</v>
      </c>
      <c r="AC790" t="str">
        <f t="shared" si="101"/>
        <v>August</v>
      </c>
      <c r="AD790">
        <f t="shared" si="102"/>
        <v>2024</v>
      </c>
      <c r="AE790" t="str">
        <f t="shared" si="103"/>
        <v>Clean</v>
      </c>
    </row>
    <row r="791" spans="1:31">
      <c r="A791" t="s">
        <v>2442</v>
      </c>
      <c r="B791" s="3">
        <v>45723</v>
      </c>
      <c r="C791" s="3">
        <v>45724</v>
      </c>
      <c r="D791" t="s">
        <v>2443</v>
      </c>
      <c r="E791" t="s">
        <v>114</v>
      </c>
      <c r="F791" t="s">
        <v>95</v>
      </c>
      <c r="G791" t="s">
        <v>2767</v>
      </c>
      <c r="H791" t="s">
        <v>26</v>
      </c>
      <c r="I791" t="s">
        <v>109</v>
      </c>
      <c r="J791" t="s">
        <v>74</v>
      </c>
      <c r="K791" t="s">
        <v>80</v>
      </c>
      <c r="L791" t="s">
        <v>2444</v>
      </c>
      <c r="M791" t="s">
        <v>44</v>
      </c>
      <c r="N791">
        <v>4</v>
      </c>
      <c r="O791">
        <v>3537.48</v>
      </c>
      <c r="P791">
        <v>0</v>
      </c>
      <c r="Q791">
        <v>14149.92</v>
      </c>
      <c r="R791">
        <v>9466.51</v>
      </c>
      <c r="S791">
        <v>4683.41</v>
      </c>
      <c r="T791" t="s">
        <v>32</v>
      </c>
      <c r="U791" t="s">
        <v>33</v>
      </c>
      <c r="V791">
        <f>IF(OR(B791="Invalid Date",C791="Invalid Date"),"Invalid Date",C791-B791)</f>
        <v>1</v>
      </c>
      <c r="W791" s="4" t="str">
        <f>IF(OR(B791="Invalid Date",C791="Invalid Date"),"Invalid Date",IF(C791&lt;B791,"Invalid Shipping","OK"))</f>
        <v>OK</v>
      </c>
      <c r="X791">
        <f t="shared" si="96"/>
        <v>1</v>
      </c>
      <c r="Y791">
        <f t="shared" si="97"/>
        <v>0</v>
      </c>
      <c r="Z791">
        <f t="shared" si="98"/>
        <v>14149.92</v>
      </c>
      <c r="AA791">
        <f t="shared" si="99"/>
        <v>4683.41</v>
      </c>
      <c r="AB791" s="6">
        <f t="shared" si="100"/>
        <v>0.33098491016203624</v>
      </c>
      <c r="AC791" t="str">
        <f t="shared" si="101"/>
        <v>March</v>
      </c>
      <c r="AD791">
        <f t="shared" si="102"/>
        <v>2025</v>
      </c>
      <c r="AE791" t="str">
        <f t="shared" si="103"/>
        <v>Warning</v>
      </c>
    </row>
    <row r="792" spans="1:31">
      <c r="A792" t="s">
        <v>2445</v>
      </c>
      <c r="B792" s="3">
        <v>45443</v>
      </c>
      <c r="C792" s="3">
        <v>45445</v>
      </c>
      <c r="D792" t="s">
        <v>2446</v>
      </c>
      <c r="E792" t="s">
        <v>118</v>
      </c>
      <c r="F792" t="s">
        <v>90</v>
      </c>
      <c r="G792" t="s">
        <v>54</v>
      </c>
      <c r="H792" t="s">
        <v>84</v>
      </c>
      <c r="I792" t="s">
        <v>85</v>
      </c>
      <c r="J792" t="s">
        <v>28</v>
      </c>
      <c r="K792" t="s">
        <v>48</v>
      </c>
      <c r="L792" t="s">
        <v>2447</v>
      </c>
      <c r="M792" t="s">
        <v>59</v>
      </c>
      <c r="N792">
        <v>8</v>
      </c>
      <c r="O792">
        <v>667.59</v>
      </c>
      <c r="P792">
        <v>0.2</v>
      </c>
      <c r="Q792">
        <v>4272.58</v>
      </c>
      <c r="R792">
        <v>3328.92</v>
      </c>
      <c r="S792">
        <v>943.66</v>
      </c>
      <c r="T792" t="s">
        <v>32</v>
      </c>
      <c r="U792" t="s">
        <v>33</v>
      </c>
      <c r="V792">
        <f>IF(OR(B792="Invalid Date",C792="Invalid Date"),"Invalid Date",C792-B792)</f>
        <v>2</v>
      </c>
      <c r="W792" s="4" t="str">
        <f>IF(OR(B792="Invalid Date",C792="Invalid Date"),"Invalid Date",IF(C792&lt;B792,"Invalid Shipping","OK"))</f>
        <v>OK</v>
      </c>
      <c r="X792">
        <f t="shared" si="96"/>
        <v>1</v>
      </c>
      <c r="Y792">
        <f t="shared" si="97"/>
        <v>0.2</v>
      </c>
      <c r="Z792">
        <f t="shared" si="98"/>
        <v>4272.576</v>
      </c>
      <c r="AA792">
        <f t="shared" si="99"/>
        <v>943.65599999999995</v>
      </c>
      <c r="AB792" s="6">
        <f t="shared" si="100"/>
        <v>0.22086347908147214</v>
      </c>
      <c r="AC792" t="str">
        <f t="shared" si="101"/>
        <v>May</v>
      </c>
      <c r="AD792">
        <f t="shared" si="102"/>
        <v>2024</v>
      </c>
      <c r="AE792" t="str">
        <f t="shared" si="103"/>
        <v>Clean</v>
      </c>
    </row>
    <row r="793" spans="1:31">
      <c r="A793" t="s">
        <v>2448</v>
      </c>
      <c r="B793" s="3">
        <v>45567</v>
      </c>
      <c r="C793" s="3">
        <v>45571</v>
      </c>
      <c r="D793" t="s">
        <v>2449</v>
      </c>
      <c r="E793" t="s">
        <v>118</v>
      </c>
      <c r="F793" t="s">
        <v>95</v>
      </c>
      <c r="G793" t="s">
        <v>54</v>
      </c>
      <c r="H793" t="s">
        <v>175</v>
      </c>
      <c r="I793" t="s">
        <v>176</v>
      </c>
      <c r="J793" t="s">
        <v>41</v>
      </c>
      <c r="K793" t="s">
        <v>158</v>
      </c>
      <c r="L793" t="s">
        <v>2450</v>
      </c>
      <c r="M793" t="s">
        <v>44</v>
      </c>
      <c r="N793">
        <v>8</v>
      </c>
      <c r="O793">
        <v>1558.77</v>
      </c>
      <c r="P793">
        <v>0.25</v>
      </c>
      <c r="Q793">
        <v>9352.6200000000008</v>
      </c>
      <c r="R793">
        <v>5269.41</v>
      </c>
      <c r="S793">
        <v>4083.21</v>
      </c>
      <c r="T793" t="s">
        <v>32</v>
      </c>
      <c r="U793" t="s">
        <v>33</v>
      </c>
      <c r="V793">
        <f>IF(OR(B793="Invalid Date",C793="Invalid Date"),"Invalid Date",C793-B793)</f>
        <v>4</v>
      </c>
      <c r="W793" s="4" t="str">
        <f>IF(OR(B793="Invalid Date",C793="Invalid Date"),"Invalid Date",IF(C793&lt;B793,"Invalid Shipping","OK"))</f>
        <v>OK</v>
      </c>
      <c r="X793">
        <f t="shared" si="96"/>
        <v>1</v>
      </c>
      <c r="Y793">
        <f t="shared" si="97"/>
        <v>0.25</v>
      </c>
      <c r="Z793">
        <f t="shared" si="98"/>
        <v>9352.619999999999</v>
      </c>
      <c r="AA793">
        <f t="shared" si="99"/>
        <v>4083.2099999999991</v>
      </c>
      <c r="AB793" s="6">
        <f t="shared" si="100"/>
        <v>0.43658461479243243</v>
      </c>
      <c r="AC793" t="str">
        <f t="shared" si="101"/>
        <v>October</v>
      </c>
      <c r="AD793">
        <f t="shared" si="102"/>
        <v>2024</v>
      </c>
      <c r="AE793" t="str">
        <f t="shared" si="103"/>
        <v>Clean</v>
      </c>
    </row>
    <row r="794" spans="1:31">
      <c r="A794" t="s">
        <v>2451</v>
      </c>
      <c r="B794" s="3">
        <v>45812</v>
      </c>
      <c r="C794" s="3">
        <v>45816</v>
      </c>
      <c r="D794" t="s">
        <v>2452</v>
      </c>
      <c r="E794" t="s">
        <v>53</v>
      </c>
      <c r="F794" t="s">
        <v>37</v>
      </c>
      <c r="G794" t="s">
        <v>38</v>
      </c>
      <c r="H794" t="s">
        <v>166</v>
      </c>
      <c r="I794" t="s">
        <v>167</v>
      </c>
      <c r="J794" t="s">
        <v>41</v>
      </c>
      <c r="K794" t="s">
        <v>57</v>
      </c>
      <c r="L794" t="s">
        <v>2453</v>
      </c>
      <c r="M794" t="s">
        <v>31</v>
      </c>
      <c r="N794">
        <v>1</v>
      </c>
      <c r="O794">
        <v>3501.12</v>
      </c>
      <c r="P794">
        <v>0.2</v>
      </c>
      <c r="Q794">
        <v>2800.9</v>
      </c>
      <c r="R794">
        <v>1735.98</v>
      </c>
      <c r="S794">
        <v>1064.92</v>
      </c>
      <c r="T794" t="s">
        <v>32</v>
      </c>
      <c r="U794" t="s">
        <v>103</v>
      </c>
      <c r="V794">
        <f>IF(OR(B794="Invalid Date",C794="Invalid Date"),"Invalid Date",C794-B794)</f>
        <v>4</v>
      </c>
      <c r="W794" s="4" t="str">
        <f>IF(OR(B794="Invalid Date",C794="Invalid Date"),"Invalid Date",IF(C794&lt;B794,"Invalid Shipping","OK"))</f>
        <v>OK</v>
      </c>
      <c r="X794">
        <f t="shared" si="96"/>
        <v>1</v>
      </c>
      <c r="Y794">
        <f t="shared" si="97"/>
        <v>0.2</v>
      </c>
      <c r="Z794">
        <f t="shared" si="98"/>
        <v>2800.8960000000002</v>
      </c>
      <c r="AA794">
        <f t="shared" si="99"/>
        <v>1064.9160000000002</v>
      </c>
      <c r="AB794" s="6">
        <f t="shared" si="100"/>
        <v>0.38020547710446945</v>
      </c>
      <c r="AC794" t="str">
        <f t="shared" si="101"/>
        <v>June</v>
      </c>
      <c r="AD794">
        <f t="shared" si="102"/>
        <v>2025</v>
      </c>
      <c r="AE794" t="str">
        <f t="shared" si="103"/>
        <v>Clean</v>
      </c>
    </row>
    <row r="795" spans="1:31">
      <c r="A795" t="s">
        <v>2454</v>
      </c>
      <c r="B795" s="3">
        <v>45440</v>
      </c>
      <c r="C795" s="3">
        <v>45446</v>
      </c>
      <c r="D795" t="s">
        <v>2455</v>
      </c>
      <c r="E795" t="s">
        <v>71</v>
      </c>
      <c r="F795" t="s">
        <v>90</v>
      </c>
      <c r="G795" t="s">
        <v>25</v>
      </c>
      <c r="H795" t="s">
        <v>26</v>
      </c>
      <c r="I795" t="s">
        <v>27</v>
      </c>
      <c r="J795" t="s">
        <v>74</v>
      </c>
      <c r="K795" t="s">
        <v>80</v>
      </c>
      <c r="L795" t="s">
        <v>2456</v>
      </c>
      <c r="M795" t="s">
        <v>31</v>
      </c>
      <c r="N795">
        <v>5</v>
      </c>
      <c r="O795">
        <v>4302.32</v>
      </c>
      <c r="P795">
        <v>0</v>
      </c>
      <c r="Q795">
        <v>21511.599999999999</v>
      </c>
      <c r="R795">
        <v>15408.47</v>
      </c>
      <c r="S795">
        <v>6103.13</v>
      </c>
      <c r="T795" t="s">
        <v>32</v>
      </c>
      <c r="U795" t="s">
        <v>33</v>
      </c>
      <c r="V795">
        <f>IF(OR(B795="Invalid Date",C795="Invalid Date"),"Invalid Date",C795-B795)</f>
        <v>6</v>
      </c>
      <c r="W795" s="4" t="str">
        <f>IF(OR(B795="Invalid Date",C795="Invalid Date"),"Invalid Date",IF(C795&lt;B795,"Invalid Shipping","OK"))</f>
        <v>OK</v>
      </c>
      <c r="X795">
        <f t="shared" si="96"/>
        <v>1</v>
      </c>
      <c r="Y795">
        <f t="shared" si="97"/>
        <v>0</v>
      </c>
      <c r="Z795">
        <f t="shared" si="98"/>
        <v>21511.599999999999</v>
      </c>
      <c r="AA795">
        <f t="shared" si="99"/>
        <v>6103.1299999999992</v>
      </c>
      <c r="AB795" s="6">
        <f t="shared" si="100"/>
        <v>0.28371343833094703</v>
      </c>
      <c r="AC795" t="str">
        <f t="shared" si="101"/>
        <v>May</v>
      </c>
      <c r="AD795">
        <f t="shared" si="102"/>
        <v>2024</v>
      </c>
      <c r="AE795" t="str">
        <f t="shared" si="103"/>
        <v>Clean</v>
      </c>
    </row>
    <row r="796" spans="1:31">
      <c r="A796" t="s">
        <v>2457</v>
      </c>
      <c r="B796" s="3">
        <v>45830</v>
      </c>
      <c r="C796" s="3">
        <v>45832</v>
      </c>
      <c r="D796" t="s">
        <v>2458</v>
      </c>
      <c r="E796" t="s">
        <v>132</v>
      </c>
      <c r="F796" t="s">
        <v>90</v>
      </c>
      <c r="G796" t="s">
        <v>38</v>
      </c>
      <c r="H796" t="s">
        <v>166</v>
      </c>
      <c r="I796" t="s">
        <v>167</v>
      </c>
      <c r="J796" t="s">
        <v>28</v>
      </c>
      <c r="K796" t="s">
        <v>29</v>
      </c>
      <c r="L796" t="s">
        <v>2459</v>
      </c>
      <c r="M796" t="s">
        <v>59</v>
      </c>
      <c r="N796">
        <v>9</v>
      </c>
      <c r="O796">
        <v>951.55</v>
      </c>
      <c r="P796">
        <v>0.15</v>
      </c>
      <c r="Q796">
        <v>7279.36</v>
      </c>
      <c r="R796">
        <v>4870.3900000000003</v>
      </c>
      <c r="S796">
        <v>2408.9699999999998</v>
      </c>
      <c r="T796" t="s">
        <v>32</v>
      </c>
      <c r="U796" t="s">
        <v>33</v>
      </c>
      <c r="V796">
        <f>IF(OR(B796="Invalid Date",C796="Invalid Date"),"Invalid Date",C796-B796)</f>
        <v>2</v>
      </c>
      <c r="W796" s="4" t="str">
        <f>IF(OR(B796="Invalid Date",C796="Invalid Date"),"Invalid Date",IF(C796&lt;B796,"Invalid Shipping","OK"))</f>
        <v>OK</v>
      </c>
      <c r="X796">
        <f t="shared" si="96"/>
        <v>1</v>
      </c>
      <c r="Y796">
        <f t="shared" si="97"/>
        <v>0.15</v>
      </c>
      <c r="Z796">
        <f t="shared" si="98"/>
        <v>7279.3574999999992</v>
      </c>
      <c r="AA796">
        <f t="shared" si="99"/>
        <v>2408.9674999999988</v>
      </c>
      <c r="AB796" s="6">
        <f t="shared" si="100"/>
        <v>0.33093133562955235</v>
      </c>
      <c r="AC796" t="str">
        <f t="shared" si="101"/>
        <v>June</v>
      </c>
      <c r="AD796">
        <f t="shared" si="102"/>
        <v>2025</v>
      </c>
      <c r="AE796" t="str">
        <f t="shared" si="103"/>
        <v>Clean</v>
      </c>
    </row>
    <row r="797" spans="1:31">
      <c r="A797" t="s">
        <v>2460</v>
      </c>
      <c r="B797" s="3">
        <v>45503</v>
      </c>
      <c r="C797" s="3">
        <v>45503</v>
      </c>
      <c r="D797" t="s">
        <v>2461</v>
      </c>
      <c r="E797" t="s">
        <v>162</v>
      </c>
      <c r="F797" t="s">
        <v>95</v>
      </c>
      <c r="G797" t="s">
        <v>38</v>
      </c>
      <c r="H797" t="s">
        <v>39</v>
      </c>
      <c r="I797" t="s">
        <v>40</v>
      </c>
      <c r="J797" t="s">
        <v>74</v>
      </c>
      <c r="K797" t="s">
        <v>80</v>
      </c>
      <c r="L797" t="s">
        <v>2462</v>
      </c>
      <c r="M797" t="s">
        <v>44</v>
      </c>
      <c r="N797">
        <v>9</v>
      </c>
      <c r="O797">
        <v>2894.66</v>
      </c>
      <c r="P797">
        <v>0</v>
      </c>
      <c r="Q797">
        <v>26051.94</v>
      </c>
      <c r="R797">
        <v>16883.59</v>
      </c>
      <c r="S797">
        <v>9168.35</v>
      </c>
      <c r="T797" t="s">
        <v>102</v>
      </c>
      <c r="U797" t="s">
        <v>68</v>
      </c>
      <c r="V797">
        <f>IF(OR(B797="Invalid Date",C797="Invalid Date"),"Invalid Date",C797-B797)</f>
        <v>0</v>
      </c>
      <c r="W797" s="4" t="str">
        <f>IF(OR(B797="Invalid Date",C797="Invalid Date"),"Invalid Date",IF(C797&lt;B797,"Invalid Shipping","OK"))</f>
        <v>OK</v>
      </c>
      <c r="X797">
        <f t="shared" si="96"/>
        <v>1</v>
      </c>
      <c r="Y797">
        <f t="shared" si="97"/>
        <v>0</v>
      </c>
      <c r="Z797">
        <f t="shared" si="98"/>
        <v>26051.94</v>
      </c>
      <c r="AA797">
        <f t="shared" si="99"/>
        <v>9168.3499999999985</v>
      </c>
      <c r="AB797" s="6">
        <f t="shared" si="100"/>
        <v>0.3519258066769691</v>
      </c>
      <c r="AC797" t="str">
        <f t="shared" si="101"/>
        <v>July</v>
      </c>
      <c r="AD797">
        <f t="shared" si="102"/>
        <v>2024</v>
      </c>
      <c r="AE797" t="str">
        <f t="shared" si="103"/>
        <v>Clean</v>
      </c>
    </row>
    <row r="798" spans="1:31">
      <c r="A798" t="s">
        <v>2463</v>
      </c>
      <c r="B798" s="3" t="s">
        <v>2763</v>
      </c>
      <c r="C798" s="3">
        <v>45381</v>
      </c>
      <c r="D798" t="s">
        <v>2464</v>
      </c>
      <c r="E798" t="s">
        <v>141</v>
      </c>
      <c r="F798" t="s">
        <v>37</v>
      </c>
      <c r="G798" t="s">
        <v>54</v>
      </c>
      <c r="H798" t="s">
        <v>84</v>
      </c>
      <c r="I798" t="s">
        <v>85</v>
      </c>
      <c r="J798" t="s">
        <v>74</v>
      </c>
      <c r="K798" t="s">
        <v>274</v>
      </c>
      <c r="L798" t="s">
        <v>2465</v>
      </c>
      <c r="M798" t="s">
        <v>50</v>
      </c>
      <c r="N798">
        <v>6</v>
      </c>
      <c r="O798">
        <v>1894.44</v>
      </c>
      <c r="P798">
        <v>0.15</v>
      </c>
      <c r="Q798">
        <v>9661.64</v>
      </c>
      <c r="R798">
        <v>6303.77</v>
      </c>
      <c r="S798">
        <v>3357.87</v>
      </c>
      <c r="T798" t="s">
        <v>32</v>
      </c>
      <c r="U798" t="s">
        <v>33</v>
      </c>
      <c r="V798" t="str">
        <f>IF(OR(B798="Invalid Date",C798="Invalid Date"),"Invalid Date",C798-B798)</f>
        <v>Invalid Date</v>
      </c>
      <c r="W798" s="4" t="str">
        <f>IF(OR(B798="Invalid Date",C798="Invalid Date"),"Invalid Date",IF(C798&lt;B798,"Invalid Shipping","OK"))</f>
        <v>Invalid Date</v>
      </c>
      <c r="X798">
        <f t="shared" si="96"/>
        <v>1</v>
      </c>
      <c r="Y798">
        <f t="shared" si="97"/>
        <v>0.15</v>
      </c>
      <c r="Z798">
        <f t="shared" si="98"/>
        <v>9661.6439999999984</v>
      </c>
      <c r="AA798">
        <f t="shared" si="99"/>
        <v>3357.873999999998</v>
      </c>
      <c r="AB798" s="6">
        <f t="shared" si="100"/>
        <v>0.34754685641491223</v>
      </c>
      <c r="AC798" t="str">
        <f t="shared" si="101"/>
        <v/>
      </c>
      <c r="AD798" t="str">
        <f t="shared" si="102"/>
        <v/>
      </c>
      <c r="AE798" t="str">
        <f t="shared" si="103"/>
        <v>Invalid</v>
      </c>
    </row>
    <row r="799" spans="1:31">
      <c r="A799" t="s">
        <v>2466</v>
      </c>
      <c r="B799" s="3">
        <v>45400</v>
      </c>
      <c r="C799" s="3">
        <v>45404</v>
      </c>
      <c r="D799" t="s">
        <v>2467</v>
      </c>
      <c r="E799" t="s">
        <v>128</v>
      </c>
      <c r="F799" t="s">
        <v>24</v>
      </c>
      <c r="G799" t="s">
        <v>38</v>
      </c>
      <c r="H799" t="s">
        <v>39</v>
      </c>
      <c r="I799" t="s">
        <v>40</v>
      </c>
      <c r="J799" t="s">
        <v>28</v>
      </c>
      <c r="K799" t="s">
        <v>153</v>
      </c>
      <c r="L799" t="s">
        <v>2468</v>
      </c>
      <c r="M799" t="s">
        <v>50</v>
      </c>
      <c r="N799">
        <v>8</v>
      </c>
      <c r="O799">
        <v>1714.37</v>
      </c>
      <c r="P799">
        <v>0</v>
      </c>
      <c r="Q799">
        <v>13714.96</v>
      </c>
      <c r="R799">
        <v>10550.47</v>
      </c>
      <c r="S799">
        <v>3164.49</v>
      </c>
      <c r="T799" t="s">
        <v>155</v>
      </c>
      <c r="U799" t="s">
        <v>68</v>
      </c>
      <c r="V799">
        <f>IF(OR(B799="Invalid Date",C799="Invalid Date"),"Invalid Date",C799-B799)</f>
        <v>4</v>
      </c>
      <c r="W799" s="4" t="str">
        <f>IF(OR(B799="Invalid Date",C799="Invalid Date"),"Invalid Date",IF(C799&lt;B799,"Invalid Shipping","OK"))</f>
        <v>OK</v>
      </c>
      <c r="X799">
        <f t="shared" si="96"/>
        <v>1</v>
      </c>
      <c r="Y799">
        <f t="shared" si="97"/>
        <v>0</v>
      </c>
      <c r="Z799">
        <f t="shared" si="98"/>
        <v>13714.96</v>
      </c>
      <c r="AA799">
        <f t="shared" si="99"/>
        <v>3164.49</v>
      </c>
      <c r="AB799" s="6">
        <f t="shared" si="100"/>
        <v>0.23073271814135804</v>
      </c>
      <c r="AC799" t="str">
        <f t="shared" si="101"/>
        <v>April</v>
      </c>
      <c r="AD799">
        <f t="shared" si="102"/>
        <v>2024</v>
      </c>
      <c r="AE799" t="str">
        <f t="shared" si="103"/>
        <v>Clean</v>
      </c>
    </row>
    <row r="800" spans="1:31">
      <c r="A800" t="s">
        <v>2469</v>
      </c>
      <c r="B800" s="3">
        <v>45849</v>
      </c>
      <c r="C800" s="3">
        <v>45847</v>
      </c>
      <c r="D800" t="s">
        <v>2470</v>
      </c>
      <c r="E800" t="s">
        <v>89</v>
      </c>
      <c r="F800" t="s">
        <v>90</v>
      </c>
      <c r="G800" t="s">
        <v>25</v>
      </c>
      <c r="H800" t="s">
        <v>350</v>
      </c>
      <c r="I800" t="s">
        <v>351</v>
      </c>
      <c r="J800" t="s">
        <v>41</v>
      </c>
      <c r="K800" t="s">
        <v>57</v>
      </c>
      <c r="L800" t="s">
        <v>2471</v>
      </c>
      <c r="M800" t="s">
        <v>59</v>
      </c>
      <c r="N800">
        <v>9</v>
      </c>
      <c r="O800">
        <v>1706.05</v>
      </c>
      <c r="P800">
        <v>0</v>
      </c>
      <c r="Q800">
        <v>15354.45</v>
      </c>
      <c r="R800">
        <v>9656.5</v>
      </c>
      <c r="S800">
        <v>5697.95</v>
      </c>
      <c r="T800" t="s">
        <v>32</v>
      </c>
      <c r="U800" t="s">
        <v>33</v>
      </c>
      <c r="V800">
        <f>IF(OR(B800="Invalid Date",C800="Invalid Date"),"Invalid Date",C800-B800)</f>
        <v>-2</v>
      </c>
      <c r="W800" s="4" t="str">
        <f>IF(OR(B800="Invalid Date",C800="Invalid Date"),"Invalid Date",IF(C800&lt;B800,"Invalid Shipping","OK"))</f>
        <v>Invalid Shipping</v>
      </c>
      <c r="X800">
        <f t="shared" si="96"/>
        <v>1</v>
      </c>
      <c r="Y800">
        <f t="shared" si="97"/>
        <v>0</v>
      </c>
      <c r="Z800">
        <f t="shared" si="98"/>
        <v>15354.449999999999</v>
      </c>
      <c r="AA800">
        <f t="shared" si="99"/>
        <v>5697.9499999999989</v>
      </c>
      <c r="AB800" s="6">
        <f t="shared" si="100"/>
        <v>0.37109437329243311</v>
      </c>
      <c r="AC800" t="str">
        <f t="shared" si="101"/>
        <v>July</v>
      </c>
      <c r="AD800">
        <f t="shared" si="102"/>
        <v>2025</v>
      </c>
      <c r="AE800" t="str">
        <f t="shared" si="103"/>
        <v>Invalid</v>
      </c>
    </row>
    <row r="801" spans="1:31">
      <c r="A801" t="s">
        <v>2472</v>
      </c>
      <c r="B801" s="3">
        <v>45575</v>
      </c>
      <c r="C801" s="3">
        <v>45582</v>
      </c>
      <c r="D801" t="s">
        <v>2473</v>
      </c>
      <c r="E801" t="s">
        <v>47</v>
      </c>
      <c r="F801" t="s">
        <v>95</v>
      </c>
      <c r="G801" t="s">
        <v>25</v>
      </c>
      <c r="H801" t="s">
        <v>236</v>
      </c>
      <c r="I801" t="s">
        <v>237</v>
      </c>
      <c r="J801" t="s">
        <v>74</v>
      </c>
      <c r="K801" t="s">
        <v>75</v>
      </c>
      <c r="L801" t="s">
        <v>2474</v>
      </c>
      <c r="M801" t="s">
        <v>2767</v>
      </c>
      <c r="N801">
        <v>5</v>
      </c>
      <c r="O801">
        <v>967.41</v>
      </c>
      <c r="P801">
        <v>0.05</v>
      </c>
      <c r="Q801">
        <v>4595.2</v>
      </c>
      <c r="R801">
        <v>3887.41</v>
      </c>
      <c r="S801">
        <v>707.79</v>
      </c>
      <c r="T801" t="s">
        <v>32</v>
      </c>
      <c r="U801" t="s">
        <v>103</v>
      </c>
      <c r="V801">
        <f>IF(OR(B801="Invalid Date",C801="Invalid Date"),"Invalid Date",C801-B801)</f>
        <v>7</v>
      </c>
      <c r="W801" s="4" t="str">
        <f>IF(OR(B801="Invalid Date",C801="Invalid Date"),"Invalid Date",IF(C801&lt;B801,"Invalid Shipping","OK"))</f>
        <v>OK</v>
      </c>
      <c r="X801">
        <f t="shared" si="96"/>
        <v>1</v>
      </c>
      <c r="Y801">
        <f t="shared" si="97"/>
        <v>0.05</v>
      </c>
      <c r="Z801">
        <f t="shared" si="98"/>
        <v>4595.1975000000002</v>
      </c>
      <c r="AA801">
        <f t="shared" si="99"/>
        <v>707.78750000000036</v>
      </c>
      <c r="AB801" s="6">
        <f t="shared" si="100"/>
        <v>0.15402765604742785</v>
      </c>
      <c r="AC801" t="str">
        <f t="shared" si="101"/>
        <v>October</v>
      </c>
      <c r="AD801">
        <f t="shared" si="102"/>
        <v>2024</v>
      </c>
      <c r="AE801" t="str">
        <f t="shared" si="103"/>
        <v>Warning</v>
      </c>
    </row>
    <row r="802" spans="1:31">
      <c r="A802" t="s">
        <v>2475</v>
      </c>
      <c r="B802" s="3">
        <v>45352</v>
      </c>
      <c r="C802" s="3">
        <v>45358</v>
      </c>
      <c r="D802" t="s">
        <v>2476</v>
      </c>
      <c r="E802" t="s">
        <v>71</v>
      </c>
      <c r="F802" t="s">
        <v>37</v>
      </c>
      <c r="G802" t="s">
        <v>63</v>
      </c>
      <c r="H802" t="s">
        <v>64</v>
      </c>
      <c r="I802" t="s">
        <v>65</v>
      </c>
      <c r="J802" t="s">
        <v>28</v>
      </c>
      <c r="K802" t="s">
        <v>124</v>
      </c>
      <c r="L802" t="s">
        <v>2477</v>
      </c>
      <c r="M802" t="s">
        <v>31</v>
      </c>
      <c r="N802">
        <v>6</v>
      </c>
      <c r="O802">
        <v>4163.72</v>
      </c>
      <c r="P802">
        <v>0.15</v>
      </c>
      <c r="Q802">
        <v>21234.97</v>
      </c>
      <c r="R802">
        <v>16736.09</v>
      </c>
      <c r="S802">
        <v>4498.88</v>
      </c>
      <c r="T802" t="s">
        <v>32</v>
      </c>
      <c r="U802" t="s">
        <v>33</v>
      </c>
      <c r="V802">
        <f>IF(OR(B802="Invalid Date",C802="Invalid Date"),"Invalid Date",C802-B802)</f>
        <v>6</v>
      </c>
      <c r="W802" s="4" t="str">
        <f>IF(OR(B802="Invalid Date",C802="Invalid Date"),"Invalid Date",IF(C802&lt;B802,"Invalid Shipping","OK"))</f>
        <v>OK</v>
      </c>
      <c r="X802">
        <f t="shared" si="96"/>
        <v>1</v>
      </c>
      <c r="Y802">
        <f t="shared" si="97"/>
        <v>0.15</v>
      </c>
      <c r="Z802">
        <f t="shared" si="98"/>
        <v>21234.971999999998</v>
      </c>
      <c r="AA802">
        <f t="shared" si="99"/>
        <v>4498.8819999999978</v>
      </c>
      <c r="AB802" s="6">
        <f t="shared" si="100"/>
        <v>0.21186192286950029</v>
      </c>
      <c r="AC802" t="str">
        <f t="shared" si="101"/>
        <v>March</v>
      </c>
      <c r="AD802">
        <f t="shared" si="102"/>
        <v>2024</v>
      </c>
      <c r="AE802" t="str">
        <f t="shared" si="103"/>
        <v>Clean</v>
      </c>
    </row>
    <row r="803" spans="1:31">
      <c r="A803" t="s">
        <v>2478</v>
      </c>
      <c r="B803" s="3">
        <v>45938</v>
      </c>
      <c r="C803" s="3">
        <v>45945</v>
      </c>
      <c r="D803" t="s">
        <v>2479</v>
      </c>
      <c r="E803" t="s">
        <v>128</v>
      </c>
      <c r="F803" t="s">
        <v>95</v>
      </c>
      <c r="G803" t="s">
        <v>38</v>
      </c>
      <c r="H803" t="s">
        <v>39</v>
      </c>
      <c r="I803" t="s">
        <v>40</v>
      </c>
      <c r="J803" t="s">
        <v>74</v>
      </c>
      <c r="K803" t="s">
        <v>75</v>
      </c>
      <c r="L803" t="s">
        <v>2480</v>
      </c>
      <c r="M803" t="s">
        <v>31</v>
      </c>
      <c r="N803">
        <v>3</v>
      </c>
      <c r="O803">
        <v>3372.21</v>
      </c>
      <c r="P803">
        <v>0.2</v>
      </c>
      <c r="Q803">
        <v>8093.3</v>
      </c>
      <c r="R803">
        <v>6052.43</v>
      </c>
      <c r="S803">
        <v>2040.87</v>
      </c>
      <c r="T803" t="s">
        <v>111</v>
      </c>
      <c r="U803" t="s">
        <v>68</v>
      </c>
      <c r="V803">
        <f>IF(OR(B803="Invalid Date",C803="Invalid Date"),"Invalid Date",C803-B803)</f>
        <v>7</v>
      </c>
      <c r="W803" s="4" t="str">
        <f>IF(OR(B803="Invalid Date",C803="Invalid Date"),"Invalid Date",IF(C803&lt;B803,"Invalid Shipping","OK"))</f>
        <v>OK</v>
      </c>
      <c r="X803">
        <f t="shared" si="96"/>
        <v>1</v>
      </c>
      <c r="Y803">
        <f t="shared" si="97"/>
        <v>0.2</v>
      </c>
      <c r="Z803">
        <f t="shared" si="98"/>
        <v>8093.304000000001</v>
      </c>
      <c r="AA803">
        <f t="shared" si="99"/>
        <v>2040.8740000000007</v>
      </c>
      <c r="AB803" s="6">
        <f t="shared" si="100"/>
        <v>0.25216821214179036</v>
      </c>
      <c r="AC803" t="str">
        <f t="shared" si="101"/>
        <v>October</v>
      </c>
      <c r="AD803">
        <f t="shared" si="102"/>
        <v>2025</v>
      </c>
      <c r="AE803" t="str">
        <f t="shared" si="103"/>
        <v>Clean</v>
      </c>
    </row>
    <row r="804" spans="1:31">
      <c r="A804" t="s">
        <v>2481</v>
      </c>
      <c r="B804" s="3">
        <v>45704</v>
      </c>
      <c r="C804" s="3">
        <v>45704</v>
      </c>
      <c r="D804" t="s">
        <v>2482</v>
      </c>
      <c r="E804" t="s">
        <v>141</v>
      </c>
      <c r="F804" t="s">
        <v>37</v>
      </c>
      <c r="G804" t="s">
        <v>38</v>
      </c>
      <c r="H804" t="s">
        <v>166</v>
      </c>
      <c r="I804" t="s">
        <v>167</v>
      </c>
      <c r="J804" t="s">
        <v>41</v>
      </c>
      <c r="K804" t="s">
        <v>57</v>
      </c>
      <c r="L804" t="s">
        <v>2483</v>
      </c>
      <c r="M804" t="s">
        <v>31</v>
      </c>
      <c r="N804">
        <v>6</v>
      </c>
      <c r="O804">
        <v>1441.91</v>
      </c>
      <c r="P804">
        <v>0</v>
      </c>
      <c r="Q804">
        <v>8651.4599999999991</v>
      </c>
      <c r="R804">
        <v>5254.62</v>
      </c>
      <c r="S804">
        <v>3396.84</v>
      </c>
      <c r="T804" t="s">
        <v>155</v>
      </c>
      <c r="U804" t="s">
        <v>103</v>
      </c>
      <c r="V804">
        <f>IF(OR(B804="Invalid Date",C804="Invalid Date"),"Invalid Date",C804-B804)</f>
        <v>0</v>
      </c>
      <c r="W804" s="4" t="str">
        <f>IF(OR(B804="Invalid Date",C804="Invalid Date"),"Invalid Date",IF(C804&lt;B804,"Invalid Shipping","OK"))</f>
        <v>OK</v>
      </c>
      <c r="X804">
        <f t="shared" si="96"/>
        <v>1</v>
      </c>
      <c r="Y804">
        <f t="shared" si="97"/>
        <v>0</v>
      </c>
      <c r="Z804">
        <f t="shared" si="98"/>
        <v>8651.4600000000009</v>
      </c>
      <c r="AA804">
        <f t="shared" si="99"/>
        <v>3396.8400000000011</v>
      </c>
      <c r="AB804" s="6">
        <f t="shared" si="100"/>
        <v>0.39263199506210522</v>
      </c>
      <c r="AC804" t="str">
        <f t="shared" si="101"/>
        <v>February</v>
      </c>
      <c r="AD804">
        <f t="shared" si="102"/>
        <v>2025</v>
      </c>
      <c r="AE804" t="str">
        <f t="shared" si="103"/>
        <v>Clean</v>
      </c>
    </row>
    <row r="805" spans="1:31">
      <c r="A805" t="s">
        <v>2484</v>
      </c>
      <c r="B805" s="3">
        <v>45635</v>
      </c>
      <c r="C805" s="3">
        <v>45639</v>
      </c>
      <c r="D805" t="s">
        <v>2485</v>
      </c>
      <c r="E805" t="s">
        <v>141</v>
      </c>
      <c r="F805" t="s">
        <v>24</v>
      </c>
      <c r="G805" t="s">
        <v>2767</v>
      </c>
      <c r="H805" t="s">
        <v>228</v>
      </c>
      <c r="I805" t="s">
        <v>229</v>
      </c>
      <c r="J805" t="s">
        <v>28</v>
      </c>
      <c r="K805" t="s">
        <v>91</v>
      </c>
      <c r="L805" t="s">
        <v>2486</v>
      </c>
      <c r="M805" t="s">
        <v>50</v>
      </c>
      <c r="N805">
        <v>1</v>
      </c>
      <c r="O805">
        <v>4306.6499999999996</v>
      </c>
      <c r="P805">
        <v>0</v>
      </c>
      <c r="Q805">
        <v>4306.6499999999996</v>
      </c>
      <c r="R805">
        <v>2568.8200000000002</v>
      </c>
      <c r="S805">
        <v>1737.83</v>
      </c>
      <c r="T805" t="s">
        <v>32</v>
      </c>
      <c r="U805" t="s">
        <v>33</v>
      </c>
      <c r="V805">
        <f>IF(OR(B805="Invalid Date",C805="Invalid Date"),"Invalid Date",C805-B805)</f>
        <v>4</v>
      </c>
      <c r="W805" s="4" t="str">
        <f>IF(OR(B805="Invalid Date",C805="Invalid Date"),"Invalid Date",IF(C805&lt;B805,"Invalid Shipping","OK"))</f>
        <v>OK</v>
      </c>
      <c r="X805">
        <f t="shared" si="96"/>
        <v>1</v>
      </c>
      <c r="Y805">
        <f t="shared" si="97"/>
        <v>0</v>
      </c>
      <c r="Z805">
        <f t="shared" si="98"/>
        <v>4306.6499999999996</v>
      </c>
      <c r="AA805">
        <f t="shared" si="99"/>
        <v>1737.8299999999995</v>
      </c>
      <c r="AB805" s="6">
        <f t="shared" si="100"/>
        <v>0.40352245945224235</v>
      </c>
      <c r="AC805" t="str">
        <f t="shared" si="101"/>
        <v>December</v>
      </c>
      <c r="AD805">
        <f t="shared" si="102"/>
        <v>2024</v>
      </c>
      <c r="AE805" t="str">
        <f t="shared" si="103"/>
        <v>Warning</v>
      </c>
    </row>
    <row r="806" spans="1:31">
      <c r="A806" t="s">
        <v>2487</v>
      </c>
      <c r="B806" s="3">
        <v>45910</v>
      </c>
      <c r="C806" s="3">
        <v>45918</v>
      </c>
      <c r="D806" t="s">
        <v>2488</v>
      </c>
      <c r="E806" t="s">
        <v>118</v>
      </c>
      <c r="F806" t="s">
        <v>95</v>
      </c>
      <c r="G806" t="s">
        <v>54</v>
      </c>
      <c r="H806" t="s">
        <v>55</v>
      </c>
      <c r="I806" t="s">
        <v>56</v>
      </c>
      <c r="J806" t="s">
        <v>41</v>
      </c>
      <c r="K806" t="s">
        <v>57</v>
      </c>
      <c r="L806" t="s">
        <v>2489</v>
      </c>
      <c r="M806" t="s">
        <v>59</v>
      </c>
      <c r="N806">
        <v>1</v>
      </c>
      <c r="O806">
        <v>2050.62</v>
      </c>
      <c r="P806">
        <v>0.05</v>
      </c>
      <c r="Q806">
        <v>1948.09</v>
      </c>
      <c r="R806">
        <v>1507.08</v>
      </c>
      <c r="S806">
        <v>441.01</v>
      </c>
      <c r="T806" t="s">
        <v>32</v>
      </c>
      <c r="U806" t="s">
        <v>33</v>
      </c>
      <c r="V806">
        <f>IF(OR(B806="Invalid Date",C806="Invalid Date"),"Invalid Date",C806-B806)</f>
        <v>8</v>
      </c>
      <c r="W806" s="4" t="str">
        <f>IF(OR(B806="Invalid Date",C806="Invalid Date"),"Invalid Date",IF(C806&lt;B806,"Invalid Shipping","OK"))</f>
        <v>OK</v>
      </c>
      <c r="X806">
        <f t="shared" si="96"/>
        <v>1</v>
      </c>
      <c r="Y806">
        <f t="shared" si="97"/>
        <v>0.05</v>
      </c>
      <c r="Z806">
        <f t="shared" si="98"/>
        <v>1948.0889999999997</v>
      </c>
      <c r="AA806">
        <f t="shared" si="99"/>
        <v>441.00899999999979</v>
      </c>
      <c r="AB806" s="6">
        <f t="shared" si="100"/>
        <v>0.22638031424642296</v>
      </c>
      <c r="AC806" t="str">
        <f t="shared" si="101"/>
        <v>September</v>
      </c>
      <c r="AD806">
        <f t="shared" si="102"/>
        <v>2025</v>
      </c>
      <c r="AE806" t="str">
        <f t="shared" si="103"/>
        <v>Clean</v>
      </c>
    </row>
    <row r="807" spans="1:31">
      <c r="A807" t="s">
        <v>2490</v>
      </c>
      <c r="B807" s="3">
        <v>45753</v>
      </c>
      <c r="C807" s="3">
        <v>45754</v>
      </c>
      <c r="D807" t="s">
        <v>2355</v>
      </c>
      <c r="E807" t="s">
        <v>114</v>
      </c>
      <c r="F807" t="s">
        <v>95</v>
      </c>
      <c r="G807" t="s">
        <v>38</v>
      </c>
      <c r="H807" t="s">
        <v>166</v>
      </c>
      <c r="I807" t="s">
        <v>167</v>
      </c>
      <c r="J807" t="s">
        <v>28</v>
      </c>
      <c r="K807" t="s">
        <v>153</v>
      </c>
      <c r="L807" t="s">
        <v>2491</v>
      </c>
      <c r="M807" t="s">
        <v>31</v>
      </c>
      <c r="N807">
        <v>2</v>
      </c>
      <c r="O807">
        <v>2030.06</v>
      </c>
      <c r="P807">
        <v>0.25</v>
      </c>
      <c r="Q807">
        <v>3045.09</v>
      </c>
      <c r="R807">
        <v>2601.09</v>
      </c>
      <c r="S807">
        <v>444</v>
      </c>
      <c r="T807" t="s">
        <v>32</v>
      </c>
      <c r="U807" t="s">
        <v>33</v>
      </c>
      <c r="V807">
        <f>IF(OR(B807="Invalid Date",C807="Invalid Date"),"Invalid Date",C807-B807)</f>
        <v>1</v>
      </c>
      <c r="W807" s="4" t="str">
        <f>IF(OR(B807="Invalid Date",C807="Invalid Date"),"Invalid Date",IF(C807&lt;B807,"Invalid Shipping","OK"))</f>
        <v>OK</v>
      </c>
      <c r="X807">
        <f t="shared" si="96"/>
        <v>1</v>
      </c>
      <c r="Y807">
        <f t="shared" si="97"/>
        <v>0.25</v>
      </c>
      <c r="Z807">
        <f t="shared" si="98"/>
        <v>3045.09</v>
      </c>
      <c r="AA807">
        <f t="shared" si="99"/>
        <v>444</v>
      </c>
      <c r="AB807" s="6">
        <f t="shared" si="100"/>
        <v>0.14580849827098705</v>
      </c>
      <c r="AC807" t="str">
        <f t="shared" si="101"/>
        <v>April</v>
      </c>
      <c r="AD807">
        <f t="shared" si="102"/>
        <v>2025</v>
      </c>
      <c r="AE807" t="str">
        <f t="shared" si="103"/>
        <v>Clean</v>
      </c>
    </row>
    <row r="808" spans="1:31">
      <c r="A808" t="s">
        <v>2492</v>
      </c>
      <c r="B808" s="3">
        <v>45605</v>
      </c>
      <c r="C808" s="3">
        <v>45611</v>
      </c>
      <c r="D808" t="s">
        <v>2493</v>
      </c>
      <c r="E808" t="s">
        <v>47</v>
      </c>
      <c r="F808" t="s">
        <v>95</v>
      </c>
      <c r="G808" t="s">
        <v>25</v>
      </c>
      <c r="H808" t="s">
        <v>26</v>
      </c>
      <c r="I808" t="s">
        <v>27</v>
      </c>
      <c r="J808" t="s">
        <v>74</v>
      </c>
      <c r="K808" t="s">
        <v>80</v>
      </c>
      <c r="L808" t="s">
        <v>2494</v>
      </c>
      <c r="M808" t="s">
        <v>59</v>
      </c>
      <c r="N808">
        <v>1</v>
      </c>
      <c r="O808">
        <v>3665.97</v>
      </c>
      <c r="P808">
        <v>0.2</v>
      </c>
      <c r="Q808">
        <v>2932.78</v>
      </c>
      <c r="R808">
        <v>1900.35</v>
      </c>
      <c r="S808">
        <v>1032.43</v>
      </c>
      <c r="T808" t="s">
        <v>155</v>
      </c>
      <c r="U808" t="s">
        <v>68</v>
      </c>
      <c r="V808">
        <f>IF(OR(B808="Invalid Date",C808="Invalid Date"),"Invalid Date",C808-B808)</f>
        <v>6</v>
      </c>
      <c r="W808" s="4" t="str">
        <f>IF(OR(B808="Invalid Date",C808="Invalid Date"),"Invalid Date",IF(C808&lt;B808,"Invalid Shipping","OK"))</f>
        <v>OK</v>
      </c>
      <c r="X808">
        <f t="shared" si="96"/>
        <v>1</v>
      </c>
      <c r="Y808">
        <f t="shared" si="97"/>
        <v>0.2</v>
      </c>
      <c r="Z808">
        <f t="shared" si="98"/>
        <v>2932.7759999999998</v>
      </c>
      <c r="AA808">
        <f t="shared" si="99"/>
        <v>1032.4259999999999</v>
      </c>
      <c r="AB808" s="6">
        <f t="shared" si="100"/>
        <v>0.35203029484692999</v>
      </c>
      <c r="AC808" t="str">
        <f t="shared" si="101"/>
        <v>November</v>
      </c>
      <c r="AD808">
        <f t="shared" si="102"/>
        <v>2024</v>
      </c>
      <c r="AE808" t="str">
        <f t="shared" si="103"/>
        <v>Clean</v>
      </c>
    </row>
    <row r="809" spans="1:31">
      <c r="A809" t="s">
        <v>2495</v>
      </c>
      <c r="B809" s="3">
        <v>45695</v>
      </c>
      <c r="C809" s="3">
        <v>45696</v>
      </c>
      <c r="D809" t="s">
        <v>2496</v>
      </c>
      <c r="E809" t="s">
        <v>23</v>
      </c>
      <c r="F809" t="s">
        <v>37</v>
      </c>
      <c r="G809" t="s">
        <v>54</v>
      </c>
      <c r="H809" t="s">
        <v>55</v>
      </c>
      <c r="I809" t="s">
        <v>56</v>
      </c>
      <c r="J809" t="s">
        <v>28</v>
      </c>
      <c r="K809" t="s">
        <v>91</v>
      </c>
      <c r="L809" t="s">
        <v>2497</v>
      </c>
      <c r="M809" t="s">
        <v>59</v>
      </c>
      <c r="N809">
        <v>2</v>
      </c>
      <c r="O809">
        <v>2432.98</v>
      </c>
      <c r="P809">
        <v>0.1</v>
      </c>
      <c r="Q809">
        <v>4379.3599999999997</v>
      </c>
      <c r="R809">
        <v>3723.93</v>
      </c>
      <c r="S809">
        <v>655.43</v>
      </c>
      <c r="T809" t="s">
        <v>32</v>
      </c>
      <c r="U809" t="s">
        <v>33</v>
      </c>
      <c r="V809">
        <f>IF(OR(B809="Invalid Date",C809="Invalid Date"),"Invalid Date",C809-B809)</f>
        <v>1</v>
      </c>
      <c r="W809" s="4" t="str">
        <f>IF(OR(B809="Invalid Date",C809="Invalid Date"),"Invalid Date",IF(C809&lt;B809,"Invalid Shipping","OK"))</f>
        <v>OK</v>
      </c>
      <c r="X809">
        <f t="shared" si="96"/>
        <v>1</v>
      </c>
      <c r="Y809">
        <f t="shared" si="97"/>
        <v>0.1</v>
      </c>
      <c r="Z809">
        <f t="shared" si="98"/>
        <v>4379.3640000000005</v>
      </c>
      <c r="AA809">
        <f t="shared" si="99"/>
        <v>655.43400000000065</v>
      </c>
      <c r="AB809" s="6">
        <f t="shared" si="100"/>
        <v>0.14966419781502532</v>
      </c>
      <c r="AC809" t="str">
        <f t="shared" si="101"/>
        <v>February</v>
      </c>
      <c r="AD809">
        <f t="shared" si="102"/>
        <v>2025</v>
      </c>
      <c r="AE809" t="str">
        <f t="shared" si="103"/>
        <v>Clean</v>
      </c>
    </row>
    <row r="810" spans="1:31">
      <c r="A810" t="s">
        <v>2498</v>
      </c>
      <c r="B810" s="3">
        <v>45900</v>
      </c>
      <c r="C810" s="3">
        <v>45897</v>
      </c>
      <c r="D810" t="s">
        <v>2499</v>
      </c>
      <c r="E810" t="s">
        <v>128</v>
      </c>
      <c r="F810" t="s">
        <v>37</v>
      </c>
      <c r="G810" t="s">
        <v>54</v>
      </c>
      <c r="H810" t="s">
        <v>247</v>
      </c>
      <c r="I810" t="s">
        <v>248</v>
      </c>
      <c r="J810" t="s">
        <v>41</v>
      </c>
      <c r="K810" t="s">
        <v>57</v>
      </c>
      <c r="L810" t="s">
        <v>2500</v>
      </c>
      <c r="M810" t="s">
        <v>50</v>
      </c>
      <c r="N810">
        <v>7</v>
      </c>
      <c r="O810">
        <v>977.28</v>
      </c>
      <c r="P810">
        <v>0.2</v>
      </c>
      <c r="Q810">
        <v>5472.77</v>
      </c>
      <c r="R810">
        <v>4477.33</v>
      </c>
      <c r="S810">
        <v>995.44</v>
      </c>
      <c r="T810" t="s">
        <v>32</v>
      </c>
      <c r="U810" t="s">
        <v>33</v>
      </c>
      <c r="V810">
        <f>IF(OR(B810="Invalid Date",C810="Invalid Date"),"Invalid Date",C810-B810)</f>
        <v>-3</v>
      </c>
      <c r="W810" s="4" t="str">
        <f>IF(OR(B810="Invalid Date",C810="Invalid Date"),"Invalid Date",IF(C810&lt;B810,"Invalid Shipping","OK"))</f>
        <v>Invalid Shipping</v>
      </c>
      <c r="X810">
        <f t="shared" si="96"/>
        <v>1</v>
      </c>
      <c r="Y810">
        <f t="shared" si="97"/>
        <v>0.2</v>
      </c>
      <c r="Z810">
        <f t="shared" si="98"/>
        <v>5472.768</v>
      </c>
      <c r="AA810">
        <f t="shared" si="99"/>
        <v>995.4380000000001</v>
      </c>
      <c r="AB810" s="6">
        <f t="shared" si="100"/>
        <v>0.18188931085695575</v>
      </c>
      <c r="AC810" t="str">
        <f t="shared" si="101"/>
        <v>August</v>
      </c>
      <c r="AD810">
        <f t="shared" si="102"/>
        <v>2025</v>
      </c>
      <c r="AE810" t="str">
        <f t="shared" si="103"/>
        <v>Invalid</v>
      </c>
    </row>
    <row r="811" spans="1:31">
      <c r="A811" t="s">
        <v>2501</v>
      </c>
      <c r="B811" s="3">
        <v>45833</v>
      </c>
      <c r="C811" s="3">
        <v>45833</v>
      </c>
      <c r="D811" t="s">
        <v>2502</v>
      </c>
      <c r="E811" t="s">
        <v>53</v>
      </c>
      <c r="F811" t="s">
        <v>37</v>
      </c>
      <c r="G811" t="s">
        <v>2767</v>
      </c>
      <c r="H811" t="s">
        <v>122</v>
      </c>
      <c r="I811" t="s">
        <v>123</v>
      </c>
      <c r="J811" t="s">
        <v>28</v>
      </c>
      <c r="K811" t="s">
        <v>153</v>
      </c>
      <c r="L811" t="s">
        <v>2503</v>
      </c>
      <c r="M811" t="s">
        <v>31</v>
      </c>
      <c r="N811">
        <v>6</v>
      </c>
      <c r="O811">
        <v>1366.13</v>
      </c>
      <c r="P811">
        <v>0.1</v>
      </c>
      <c r="Q811">
        <v>7377.1</v>
      </c>
      <c r="R811">
        <v>5085.21</v>
      </c>
      <c r="S811">
        <v>2291.89</v>
      </c>
      <c r="T811" t="s">
        <v>32</v>
      </c>
      <c r="U811" t="s">
        <v>33</v>
      </c>
      <c r="V811">
        <f>IF(OR(B811="Invalid Date",C811="Invalid Date"),"Invalid Date",C811-B811)</f>
        <v>0</v>
      </c>
      <c r="W811" s="4" t="str">
        <f>IF(OR(B811="Invalid Date",C811="Invalid Date"),"Invalid Date",IF(C811&lt;B811,"Invalid Shipping","OK"))</f>
        <v>OK</v>
      </c>
      <c r="X811">
        <f t="shared" si="96"/>
        <v>1</v>
      </c>
      <c r="Y811">
        <f t="shared" si="97"/>
        <v>0.1</v>
      </c>
      <c r="Z811">
        <f t="shared" si="98"/>
        <v>7377.1020000000008</v>
      </c>
      <c r="AA811">
        <f t="shared" si="99"/>
        <v>2291.8920000000007</v>
      </c>
      <c r="AB811" s="6">
        <f t="shared" si="100"/>
        <v>0.31067646888981615</v>
      </c>
      <c r="AC811" t="str">
        <f t="shared" si="101"/>
        <v>June</v>
      </c>
      <c r="AD811">
        <f t="shared" si="102"/>
        <v>2025</v>
      </c>
      <c r="AE811" t="str">
        <f t="shared" si="103"/>
        <v>Warning</v>
      </c>
    </row>
    <row r="812" spans="1:31">
      <c r="A812" t="s">
        <v>2504</v>
      </c>
      <c r="B812" s="3">
        <v>45355</v>
      </c>
      <c r="C812" s="3">
        <v>45390</v>
      </c>
      <c r="D812" t="s">
        <v>1668</v>
      </c>
      <c r="E812" t="s">
        <v>264</v>
      </c>
      <c r="F812" t="s">
        <v>95</v>
      </c>
      <c r="G812" t="s">
        <v>63</v>
      </c>
      <c r="H812" t="s">
        <v>180</v>
      </c>
      <c r="I812" t="s">
        <v>181</v>
      </c>
      <c r="J812" t="s">
        <v>74</v>
      </c>
      <c r="K812" t="s">
        <v>80</v>
      </c>
      <c r="L812" t="s">
        <v>2505</v>
      </c>
      <c r="M812" t="s">
        <v>50</v>
      </c>
      <c r="N812">
        <v>1</v>
      </c>
      <c r="O812">
        <v>3151.85</v>
      </c>
      <c r="P812">
        <v>0.25</v>
      </c>
      <c r="Q812">
        <v>2363.89</v>
      </c>
      <c r="R812">
        <v>1471.51</v>
      </c>
      <c r="S812">
        <v>892.38</v>
      </c>
      <c r="T812" t="s">
        <v>32</v>
      </c>
      <c r="U812" t="s">
        <v>33</v>
      </c>
      <c r="V812">
        <f>IF(OR(B812="Invalid Date",C812="Invalid Date"),"Invalid Date",C812-B812)</f>
        <v>35</v>
      </c>
      <c r="W812" s="4" t="str">
        <f>IF(OR(B812="Invalid Date",C812="Invalid Date"),"Invalid Date",IF(C812&lt;B812,"Invalid Shipping","OK"))</f>
        <v>OK</v>
      </c>
      <c r="X812">
        <f t="shared" si="96"/>
        <v>1</v>
      </c>
      <c r="Y812">
        <f t="shared" si="97"/>
        <v>0.25</v>
      </c>
      <c r="Z812">
        <f t="shared" si="98"/>
        <v>2363.8874999999998</v>
      </c>
      <c r="AA812">
        <f t="shared" si="99"/>
        <v>892.37749999999983</v>
      </c>
      <c r="AB812" s="6">
        <f t="shared" si="100"/>
        <v>0.37750421710000998</v>
      </c>
      <c r="AC812" t="str">
        <f t="shared" si="101"/>
        <v>March</v>
      </c>
      <c r="AD812">
        <f t="shared" si="102"/>
        <v>2024</v>
      </c>
      <c r="AE812" t="str">
        <f t="shared" si="103"/>
        <v>Clean</v>
      </c>
    </row>
    <row r="813" spans="1:31">
      <c r="A813" t="s">
        <v>2506</v>
      </c>
      <c r="B813" s="3">
        <v>45638</v>
      </c>
      <c r="C813" s="3">
        <v>45645</v>
      </c>
      <c r="D813" t="s">
        <v>2507</v>
      </c>
      <c r="E813" t="s">
        <v>141</v>
      </c>
      <c r="F813" t="s">
        <v>95</v>
      </c>
      <c r="G813" t="s">
        <v>25</v>
      </c>
      <c r="H813" t="s">
        <v>236</v>
      </c>
      <c r="I813" t="s">
        <v>237</v>
      </c>
      <c r="J813" t="s">
        <v>74</v>
      </c>
      <c r="K813" t="s">
        <v>75</v>
      </c>
      <c r="L813" t="s">
        <v>2508</v>
      </c>
      <c r="M813" t="s">
        <v>50</v>
      </c>
      <c r="N813">
        <v>2</v>
      </c>
      <c r="O813">
        <v>1610.75</v>
      </c>
      <c r="P813">
        <v>0.2</v>
      </c>
      <c r="Q813">
        <v>2577.1999999999998</v>
      </c>
      <c r="R813">
        <v>1475.87</v>
      </c>
      <c r="S813">
        <v>1101.33</v>
      </c>
      <c r="T813" t="s">
        <v>32</v>
      </c>
      <c r="U813" t="s">
        <v>33</v>
      </c>
      <c r="V813">
        <f>IF(OR(B813="Invalid Date",C813="Invalid Date"),"Invalid Date",C813-B813)</f>
        <v>7</v>
      </c>
      <c r="W813" s="4" t="str">
        <f>IF(OR(B813="Invalid Date",C813="Invalid Date"),"Invalid Date",IF(C813&lt;B813,"Invalid Shipping","OK"))</f>
        <v>OK</v>
      </c>
      <c r="X813">
        <f t="shared" si="96"/>
        <v>1</v>
      </c>
      <c r="Y813">
        <f t="shared" si="97"/>
        <v>0.2</v>
      </c>
      <c r="Z813">
        <f t="shared" si="98"/>
        <v>2577.2000000000003</v>
      </c>
      <c r="AA813">
        <f t="shared" si="99"/>
        <v>1101.3300000000004</v>
      </c>
      <c r="AB813" s="6">
        <f t="shared" si="100"/>
        <v>0.42733586838429316</v>
      </c>
      <c r="AC813" t="str">
        <f t="shared" si="101"/>
        <v>December</v>
      </c>
      <c r="AD813">
        <f t="shared" si="102"/>
        <v>2024</v>
      </c>
      <c r="AE813" t="str">
        <f t="shared" si="103"/>
        <v>Clean</v>
      </c>
    </row>
    <row r="814" spans="1:31">
      <c r="A814" t="s">
        <v>2509</v>
      </c>
      <c r="B814" s="3">
        <v>45458</v>
      </c>
      <c r="C814" s="3">
        <v>45463</v>
      </c>
      <c r="D814" t="s">
        <v>2510</v>
      </c>
      <c r="E814" t="s">
        <v>132</v>
      </c>
      <c r="F814" t="s">
        <v>37</v>
      </c>
      <c r="G814" t="s">
        <v>38</v>
      </c>
      <c r="H814" t="s">
        <v>228</v>
      </c>
      <c r="I814" t="s">
        <v>229</v>
      </c>
      <c r="J814" t="s">
        <v>41</v>
      </c>
      <c r="K814" t="s">
        <v>42</v>
      </c>
      <c r="L814" t="s">
        <v>2511</v>
      </c>
      <c r="M814" t="s">
        <v>50</v>
      </c>
      <c r="N814">
        <v>8</v>
      </c>
      <c r="O814">
        <v>2228.4699999999998</v>
      </c>
      <c r="P814">
        <v>0</v>
      </c>
      <c r="Q814">
        <v>17827.759999999998</v>
      </c>
      <c r="R814">
        <v>14122.13</v>
      </c>
      <c r="S814">
        <v>3705.63</v>
      </c>
      <c r="T814" t="s">
        <v>32</v>
      </c>
      <c r="U814" t="s">
        <v>33</v>
      </c>
      <c r="V814">
        <f>IF(OR(B814="Invalid Date",C814="Invalid Date"),"Invalid Date",C814-B814)</f>
        <v>5</v>
      </c>
      <c r="W814" s="4" t="str">
        <f>IF(OR(B814="Invalid Date",C814="Invalid Date"),"Invalid Date",IF(C814&lt;B814,"Invalid Shipping","OK"))</f>
        <v>OK</v>
      </c>
      <c r="X814">
        <f t="shared" si="96"/>
        <v>1</v>
      </c>
      <c r="Y814">
        <f t="shared" si="97"/>
        <v>0</v>
      </c>
      <c r="Z814">
        <f t="shared" si="98"/>
        <v>17827.759999999998</v>
      </c>
      <c r="AA814">
        <f t="shared" si="99"/>
        <v>3705.6299999999992</v>
      </c>
      <c r="AB814" s="6">
        <f t="shared" si="100"/>
        <v>0.20785729671029896</v>
      </c>
      <c r="AC814" t="str">
        <f t="shared" si="101"/>
        <v>June</v>
      </c>
      <c r="AD814">
        <f t="shared" si="102"/>
        <v>2024</v>
      </c>
      <c r="AE814" t="str">
        <f t="shared" si="103"/>
        <v>Clean</v>
      </c>
    </row>
    <row r="815" spans="1:31">
      <c r="A815" t="s">
        <v>2512</v>
      </c>
      <c r="B815" s="3">
        <v>45812</v>
      </c>
      <c r="C815" s="3">
        <v>45757</v>
      </c>
      <c r="D815" t="s">
        <v>2513</v>
      </c>
      <c r="E815" t="s">
        <v>141</v>
      </c>
      <c r="F815" t="s">
        <v>24</v>
      </c>
      <c r="G815" t="s">
        <v>38</v>
      </c>
      <c r="H815" t="s">
        <v>39</v>
      </c>
      <c r="I815" t="s">
        <v>40</v>
      </c>
      <c r="J815" t="s">
        <v>41</v>
      </c>
      <c r="K815" t="s">
        <v>158</v>
      </c>
      <c r="L815" t="s">
        <v>1123</v>
      </c>
      <c r="M815" t="s">
        <v>59</v>
      </c>
      <c r="N815">
        <v>2</v>
      </c>
      <c r="O815">
        <v>1337.67</v>
      </c>
      <c r="P815">
        <v>0</v>
      </c>
      <c r="Q815">
        <v>2675.34</v>
      </c>
      <c r="R815">
        <v>1595.87</v>
      </c>
      <c r="S815">
        <v>1079.47</v>
      </c>
      <c r="T815" t="s">
        <v>32</v>
      </c>
      <c r="U815" t="s">
        <v>33</v>
      </c>
      <c r="V815">
        <f>IF(OR(B815="Invalid Date",C815="Invalid Date"),"Invalid Date",C815-B815)</f>
        <v>-55</v>
      </c>
      <c r="W815" s="4" t="str">
        <f>IF(OR(B815="Invalid Date",C815="Invalid Date"),"Invalid Date",IF(C815&lt;B815,"Invalid Shipping","OK"))</f>
        <v>Invalid Shipping</v>
      </c>
      <c r="X815">
        <f t="shared" si="96"/>
        <v>1</v>
      </c>
      <c r="Y815">
        <f t="shared" si="97"/>
        <v>0</v>
      </c>
      <c r="Z815">
        <f t="shared" si="98"/>
        <v>2675.34</v>
      </c>
      <c r="AA815">
        <f t="shared" si="99"/>
        <v>1079.4700000000003</v>
      </c>
      <c r="AB815" s="6">
        <f t="shared" si="100"/>
        <v>0.40348890234512258</v>
      </c>
      <c r="AC815" t="str">
        <f t="shared" si="101"/>
        <v>June</v>
      </c>
      <c r="AD815">
        <f t="shared" si="102"/>
        <v>2025</v>
      </c>
      <c r="AE815" t="str">
        <f t="shared" si="103"/>
        <v>Invalid</v>
      </c>
    </row>
    <row r="816" spans="1:31">
      <c r="A816" t="s">
        <v>2514</v>
      </c>
      <c r="B816" s="3">
        <v>45875</v>
      </c>
      <c r="C816" s="3">
        <v>45880</v>
      </c>
      <c r="D816" t="s">
        <v>2515</v>
      </c>
      <c r="E816" t="s">
        <v>53</v>
      </c>
      <c r="F816" t="s">
        <v>24</v>
      </c>
      <c r="G816" t="s">
        <v>63</v>
      </c>
      <c r="H816" t="s">
        <v>72</v>
      </c>
      <c r="I816" t="s">
        <v>73</v>
      </c>
      <c r="J816" t="s">
        <v>28</v>
      </c>
      <c r="K816" t="s">
        <v>91</v>
      </c>
      <c r="L816" t="s">
        <v>2516</v>
      </c>
      <c r="M816" t="s">
        <v>50</v>
      </c>
      <c r="N816">
        <v>2</v>
      </c>
      <c r="O816">
        <v>2375.94</v>
      </c>
      <c r="P816">
        <v>0.25</v>
      </c>
      <c r="Q816">
        <v>3563.91</v>
      </c>
      <c r="R816">
        <v>2639.7</v>
      </c>
      <c r="S816">
        <v>924.21</v>
      </c>
      <c r="T816" t="s">
        <v>32</v>
      </c>
      <c r="U816" t="s">
        <v>33</v>
      </c>
      <c r="V816">
        <f>IF(OR(B816="Invalid Date",C816="Invalid Date"),"Invalid Date",C816-B816)</f>
        <v>5</v>
      </c>
      <c r="W816" s="4" t="str">
        <f>IF(OR(B816="Invalid Date",C816="Invalid Date"),"Invalid Date",IF(C816&lt;B816,"Invalid Shipping","OK"))</f>
        <v>OK</v>
      </c>
      <c r="X816">
        <f t="shared" si="96"/>
        <v>1</v>
      </c>
      <c r="Y816">
        <f t="shared" si="97"/>
        <v>0.25</v>
      </c>
      <c r="Z816">
        <f t="shared" si="98"/>
        <v>3563.91</v>
      </c>
      <c r="AA816">
        <f t="shared" si="99"/>
        <v>924.21</v>
      </c>
      <c r="AB816" s="6">
        <f t="shared" si="100"/>
        <v>0.25932473042248544</v>
      </c>
      <c r="AC816" t="str">
        <f t="shared" si="101"/>
        <v>August</v>
      </c>
      <c r="AD816">
        <f t="shared" si="102"/>
        <v>2025</v>
      </c>
      <c r="AE816" t="str">
        <f t="shared" si="103"/>
        <v>Clean</v>
      </c>
    </row>
    <row r="817" spans="1:31">
      <c r="A817" t="s">
        <v>2517</v>
      </c>
      <c r="B817" s="3">
        <v>45295</v>
      </c>
      <c r="C817" s="3">
        <v>45390</v>
      </c>
      <c r="D817" t="s">
        <v>2518</v>
      </c>
      <c r="E817" t="s">
        <v>162</v>
      </c>
      <c r="F817" t="s">
        <v>24</v>
      </c>
      <c r="G817" t="s">
        <v>38</v>
      </c>
      <c r="H817" t="s">
        <v>39</v>
      </c>
      <c r="I817" t="s">
        <v>40</v>
      </c>
      <c r="J817" t="s">
        <v>74</v>
      </c>
      <c r="K817" t="s">
        <v>274</v>
      </c>
      <c r="L817" t="s">
        <v>2519</v>
      </c>
      <c r="M817" t="s">
        <v>59</v>
      </c>
      <c r="N817">
        <v>7</v>
      </c>
      <c r="O817">
        <v>715.81</v>
      </c>
      <c r="P817">
        <v>0.15</v>
      </c>
      <c r="Q817">
        <v>4259.07</v>
      </c>
      <c r="R817">
        <v>3130.32</v>
      </c>
      <c r="S817">
        <v>1128.75</v>
      </c>
      <c r="T817" t="s">
        <v>111</v>
      </c>
      <c r="U817" t="s">
        <v>68</v>
      </c>
      <c r="V817">
        <f>IF(OR(B817="Invalid Date",C817="Invalid Date"),"Invalid Date",C817-B817)</f>
        <v>95</v>
      </c>
      <c r="W817" s="4" t="str">
        <f>IF(OR(B817="Invalid Date",C817="Invalid Date"),"Invalid Date",IF(C817&lt;B817,"Invalid Shipping","OK"))</f>
        <v>OK</v>
      </c>
      <c r="X817">
        <f t="shared" si="96"/>
        <v>1</v>
      </c>
      <c r="Y817">
        <f t="shared" si="97"/>
        <v>0.15</v>
      </c>
      <c r="Z817">
        <f t="shared" si="98"/>
        <v>4259.0694999999996</v>
      </c>
      <c r="AA817">
        <f t="shared" si="99"/>
        <v>1128.7494999999994</v>
      </c>
      <c r="AB817" s="6">
        <f t="shared" si="100"/>
        <v>0.26502255950507486</v>
      </c>
      <c r="AC817" t="str">
        <f t="shared" si="101"/>
        <v>January</v>
      </c>
      <c r="AD817">
        <f t="shared" si="102"/>
        <v>2024</v>
      </c>
      <c r="AE817" t="str">
        <f t="shared" si="103"/>
        <v>Clean</v>
      </c>
    </row>
    <row r="818" spans="1:31">
      <c r="A818" t="s">
        <v>2520</v>
      </c>
      <c r="B818" s="3" t="s">
        <v>2763</v>
      </c>
      <c r="C818" s="3">
        <v>45626</v>
      </c>
      <c r="D818" t="s">
        <v>2521</v>
      </c>
      <c r="E818" t="s">
        <v>118</v>
      </c>
      <c r="F818" t="s">
        <v>37</v>
      </c>
      <c r="G818" t="s">
        <v>38</v>
      </c>
      <c r="H818" t="s">
        <v>228</v>
      </c>
      <c r="I818" t="s">
        <v>229</v>
      </c>
      <c r="J818" t="s">
        <v>41</v>
      </c>
      <c r="K818" t="s">
        <v>57</v>
      </c>
      <c r="L818" t="s">
        <v>2522</v>
      </c>
      <c r="M818" t="s">
        <v>50</v>
      </c>
      <c r="N818">
        <v>1</v>
      </c>
      <c r="O818">
        <v>874.3</v>
      </c>
      <c r="P818">
        <v>0.1</v>
      </c>
      <c r="Q818">
        <v>786.87</v>
      </c>
      <c r="R818">
        <v>498.5</v>
      </c>
      <c r="S818">
        <v>288.37</v>
      </c>
      <c r="T818" t="s">
        <v>32</v>
      </c>
      <c r="U818" t="s">
        <v>33</v>
      </c>
      <c r="V818" t="str">
        <f>IF(OR(B818="Invalid Date",C818="Invalid Date"),"Invalid Date",C818-B818)</f>
        <v>Invalid Date</v>
      </c>
      <c r="W818" s="4" t="str">
        <f>IF(OR(B818="Invalid Date",C818="Invalid Date"),"Invalid Date",IF(C818&lt;B818,"Invalid Shipping","OK"))</f>
        <v>Invalid Date</v>
      </c>
      <c r="X818">
        <f t="shared" si="96"/>
        <v>1</v>
      </c>
      <c r="Y818">
        <f t="shared" si="97"/>
        <v>0.1</v>
      </c>
      <c r="Z818">
        <f t="shared" si="98"/>
        <v>786.87</v>
      </c>
      <c r="AA818">
        <f t="shared" si="99"/>
        <v>288.37</v>
      </c>
      <c r="AB818" s="6">
        <f t="shared" si="100"/>
        <v>0.36647730883119195</v>
      </c>
      <c r="AC818" t="str">
        <f t="shared" si="101"/>
        <v/>
      </c>
      <c r="AD818" t="str">
        <f t="shared" si="102"/>
        <v/>
      </c>
      <c r="AE818" t="str">
        <f t="shared" si="103"/>
        <v>Invalid</v>
      </c>
    </row>
    <row r="819" spans="1:31">
      <c r="A819" t="s">
        <v>2523</v>
      </c>
      <c r="B819" s="3">
        <v>45752</v>
      </c>
      <c r="C819" s="3">
        <v>45781</v>
      </c>
      <c r="D819" t="s">
        <v>2524</v>
      </c>
      <c r="E819" t="s">
        <v>132</v>
      </c>
      <c r="F819" t="s">
        <v>24</v>
      </c>
      <c r="G819" t="s">
        <v>38</v>
      </c>
      <c r="H819" t="s">
        <v>145</v>
      </c>
      <c r="I819" t="s">
        <v>146</v>
      </c>
      <c r="J819" t="s">
        <v>28</v>
      </c>
      <c r="K819" t="s">
        <v>153</v>
      </c>
      <c r="L819" t="s">
        <v>2525</v>
      </c>
      <c r="M819" t="s">
        <v>59</v>
      </c>
      <c r="N819">
        <v>6</v>
      </c>
      <c r="O819">
        <v>1829.69</v>
      </c>
      <c r="P819">
        <v>0.25</v>
      </c>
      <c r="Q819">
        <v>8233.6</v>
      </c>
      <c r="R819">
        <v>4713.79</v>
      </c>
      <c r="S819">
        <v>3519.81</v>
      </c>
      <c r="T819" t="s">
        <v>32</v>
      </c>
      <c r="U819" t="s">
        <v>33</v>
      </c>
      <c r="V819">
        <f>IF(OR(B819="Invalid Date",C819="Invalid Date"),"Invalid Date",C819-B819)</f>
        <v>29</v>
      </c>
      <c r="W819" s="4" t="str">
        <f>IF(OR(B819="Invalid Date",C819="Invalid Date"),"Invalid Date",IF(C819&lt;B819,"Invalid Shipping","OK"))</f>
        <v>OK</v>
      </c>
      <c r="X819">
        <f t="shared" si="96"/>
        <v>1</v>
      </c>
      <c r="Y819">
        <f t="shared" si="97"/>
        <v>0.25</v>
      </c>
      <c r="Z819">
        <f t="shared" si="98"/>
        <v>8233.6049999999996</v>
      </c>
      <c r="AA819">
        <f t="shared" si="99"/>
        <v>3519.8149999999996</v>
      </c>
      <c r="AB819" s="6">
        <f t="shared" si="100"/>
        <v>0.42749378917254349</v>
      </c>
      <c r="AC819" t="str">
        <f t="shared" si="101"/>
        <v>April</v>
      </c>
      <c r="AD819">
        <f t="shared" si="102"/>
        <v>2025</v>
      </c>
      <c r="AE819" t="str">
        <f t="shared" si="103"/>
        <v>Clean</v>
      </c>
    </row>
    <row r="820" spans="1:31">
      <c r="A820" t="s">
        <v>2526</v>
      </c>
      <c r="B820" s="3">
        <v>45564</v>
      </c>
      <c r="C820" s="3">
        <v>45570</v>
      </c>
      <c r="D820" t="s">
        <v>2527</v>
      </c>
      <c r="E820" t="s">
        <v>114</v>
      </c>
      <c r="F820" t="s">
        <v>37</v>
      </c>
      <c r="G820" t="s">
        <v>63</v>
      </c>
      <c r="H820" t="s">
        <v>64</v>
      </c>
      <c r="I820" t="s">
        <v>65</v>
      </c>
      <c r="J820" t="s">
        <v>28</v>
      </c>
      <c r="K820" t="s">
        <v>91</v>
      </c>
      <c r="L820" t="s">
        <v>2528</v>
      </c>
      <c r="M820" t="s">
        <v>50</v>
      </c>
      <c r="N820">
        <v>8</v>
      </c>
      <c r="O820">
        <v>1981.04</v>
      </c>
      <c r="P820">
        <v>-0.14000000000000001</v>
      </c>
      <c r="Q820">
        <v>12678.66</v>
      </c>
      <c r="R820">
        <v>10088.65</v>
      </c>
      <c r="S820">
        <v>2590.0100000000002</v>
      </c>
      <c r="T820" t="s">
        <v>32</v>
      </c>
      <c r="U820" t="s">
        <v>33</v>
      </c>
      <c r="V820">
        <f>IF(OR(B820="Invalid Date",C820="Invalid Date"),"Invalid Date",C820-B820)</f>
        <v>6</v>
      </c>
      <c r="W820" s="4" t="str">
        <f>IF(OR(B820="Invalid Date",C820="Invalid Date"),"Invalid Date",IF(C820&lt;B820,"Invalid Shipping","OK"))</f>
        <v>OK</v>
      </c>
      <c r="X820">
        <f t="shared" si="96"/>
        <v>1</v>
      </c>
      <c r="Y820" t="str">
        <f t="shared" si="97"/>
        <v>Invalid</v>
      </c>
      <c r="Z820" t="str">
        <f t="shared" si="98"/>
        <v/>
      </c>
      <c r="AA820" t="str">
        <f t="shared" si="99"/>
        <v/>
      </c>
      <c r="AB820" s="6" t="str">
        <f t="shared" si="100"/>
        <v/>
      </c>
      <c r="AC820" t="str">
        <f t="shared" si="101"/>
        <v>September</v>
      </c>
      <c r="AD820">
        <f t="shared" si="102"/>
        <v>2024</v>
      </c>
      <c r="AE820" t="str">
        <f t="shared" si="103"/>
        <v>Invalid</v>
      </c>
    </row>
    <row r="821" spans="1:31">
      <c r="A821" t="s">
        <v>2529</v>
      </c>
      <c r="B821" s="3" t="s">
        <v>2763</v>
      </c>
      <c r="C821" s="3">
        <v>45504</v>
      </c>
      <c r="D821" t="s">
        <v>2530</v>
      </c>
      <c r="E821" t="s">
        <v>23</v>
      </c>
      <c r="F821" t="s">
        <v>95</v>
      </c>
      <c r="G821" t="s">
        <v>54</v>
      </c>
      <c r="H821" t="s">
        <v>185</v>
      </c>
      <c r="I821" t="s">
        <v>186</v>
      </c>
      <c r="J821" t="s">
        <v>74</v>
      </c>
      <c r="K821" t="s">
        <v>274</v>
      </c>
      <c r="L821" t="s">
        <v>2531</v>
      </c>
      <c r="M821" t="s">
        <v>59</v>
      </c>
      <c r="N821">
        <v>8</v>
      </c>
      <c r="O821">
        <v>4246.01</v>
      </c>
      <c r="P821">
        <v>0</v>
      </c>
      <c r="Q821">
        <v>33968.080000000002</v>
      </c>
      <c r="R821">
        <v>26902.44</v>
      </c>
      <c r="S821">
        <v>7065.64</v>
      </c>
      <c r="T821" t="s">
        <v>155</v>
      </c>
      <c r="U821" t="s">
        <v>68</v>
      </c>
      <c r="V821" t="str">
        <f>IF(OR(B821="Invalid Date",C821="Invalid Date"),"Invalid Date",C821-B821)</f>
        <v>Invalid Date</v>
      </c>
      <c r="W821" s="4" t="str">
        <f>IF(OR(B821="Invalid Date",C821="Invalid Date"),"Invalid Date",IF(C821&lt;B821,"Invalid Shipping","OK"))</f>
        <v>Invalid Date</v>
      </c>
      <c r="X821">
        <f t="shared" si="96"/>
        <v>1</v>
      </c>
      <c r="Y821">
        <f t="shared" si="97"/>
        <v>0</v>
      </c>
      <c r="Z821">
        <f t="shared" si="98"/>
        <v>33968.080000000002</v>
      </c>
      <c r="AA821">
        <f t="shared" si="99"/>
        <v>7065.6400000000031</v>
      </c>
      <c r="AB821" s="6">
        <f t="shared" si="100"/>
        <v>0.20800822419165294</v>
      </c>
      <c r="AC821" t="str">
        <f t="shared" si="101"/>
        <v/>
      </c>
      <c r="AD821" t="str">
        <f t="shared" si="102"/>
        <v/>
      </c>
      <c r="AE821" t="str">
        <f t="shared" si="103"/>
        <v>Invalid</v>
      </c>
    </row>
    <row r="822" spans="1:31">
      <c r="A822" t="s">
        <v>2532</v>
      </c>
      <c r="B822" s="3">
        <v>45694</v>
      </c>
      <c r="C822" s="3">
        <v>45698</v>
      </c>
      <c r="D822" t="s">
        <v>2533</v>
      </c>
      <c r="E822" t="s">
        <v>62</v>
      </c>
      <c r="F822" t="s">
        <v>95</v>
      </c>
      <c r="G822" t="s">
        <v>25</v>
      </c>
      <c r="H822" t="s">
        <v>136</v>
      </c>
      <c r="I822" t="s">
        <v>137</v>
      </c>
      <c r="J822" t="s">
        <v>41</v>
      </c>
      <c r="K822" t="s">
        <v>158</v>
      </c>
      <c r="L822" t="s">
        <v>2534</v>
      </c>
      <c r="M822" t="s">
        <v>59</v>
      </c>
      <c r="N822">
        <v>2</v>
      </c>
      <c r="O822">
        <v>319.57</v>
      </c>
      <c r="P822">
        <v>0.2</v>
      </c>
      <c r="Q822">
        <v>511.31</v>
      </c>
      <c r="R822">
        <v>436.43</v>
      </c>
      <c r="S822">
        <v>74.88</v>
      </c>
      <c r="T822" t="s">
        <v>32</v>
      </c>
      <c r="U822" t="s">
        <v>33</v>
      </c>
      <c r="V822">
        <f>IF(OR(B822="Invalid Date",C822="Invalid Date"),"Invalid Date",C822-B822)</f>
        <v>4</v>
      </c>
      <c r="W822" s="4" t="str">
        <f>IF(OR(B822="Invalid Date",C822="Invalid Date"),"Invalid Date",IF(C822&lt;B822,"Invalid Shipping","OK"))</f>
        <v>OK</v>
      </c>
      <c r="X822">
        <f t="shared" si="96"/>
        <v>1</v>
      </c>
      <c r="Y822">
        <f t="shared" si="97"/>
        <v>0.2</v>
      </c>
      <c r="Z822">
        <f t="shared" si="98"/>
        <v>511.31200000000001</v>
      </c>
      <c r="AA822">
        <f t="shared" si="99"/>
        <v>74.882000000000005</v>
      </c>
      <c r="AB822" s="6">
        <f t="shared" si="100"/>
        <v>0.14645069937728825</v>
      </c>
      <c r="AC822" t="str">
        <f t="shared" si="101"/>
        <v>February</v>
      </c>
      <c r="AD822">
        <f t="shared" si="102"/>
        <v>2025</v>
      </c>
      <c r="AE822" t="str">
        <f t="shared" si="103"/>
        <v>Clean</v>
      </c>
    </row>
    <row r="823" spans="1:31">
      <c r="A823" t="s">
        <v>2535</v>
      </c>
      <c r="B823" s="3">
        <v>45476</v>
      </c>
      <c r="C823" s="3">
        <v>45479</v>
      </c>
      <c r="D823" t="s">
        <v>2536</v>
      </c>
      <c r="E823" t="s">
        <v>128</v>
      </c>
      <c r="F823" t="s">
        <v>90</v>
      </c>
      <c r="G823" t="s">
        <v>54</v>
      </c>
      <c r="H823" t="s">
        <v>175</v>
      </c>
      <c r="I823" t="s">
        <v>176</v>
      </c>
      <c r="J823" t="s">
        <v>74</v>
      </c>
      <c r="K823" t="s">
        <v>75</v>
      </c>
      <c r="L823" t="s">
        <v>2537</v>
      </c>
      <c r="M823" t="s">
        <v>50</v>
      </c>
      <c r="N823">
        <v>7</v>
      </c>
      <c r="O823">
        <v>1942.49</v>
      </c>
      <c r="P823">
        <v>0.2</v>
      </c>
      <c r="Q823">
        <v>10877.94</v>
      </c>
      <c r="R823">
        <v>9110.14</v>
      </c>
      <c r="S823">
        <v>1767.8</v>
      </c>
      <c r="T823" t="s">
        <v>32</v>
      </c>
      <c r="U823" t="s">
        <v>33</v>
      </c>
      <c r="V823">
        <f>IF(OR(B823="Invalid Date",C823="Invalid Date"),"Invalid Date",C823-B823)</f>
        <v>3</v>
      </c>
      <c r="W823" s="4" t="str">
        <f>IF(OR(B823="Invalid Date",C823="Invalid Date"),"Invalid Date",IF(C823&lt;B823,"Invalid Shipping","OK"))</f>
        <v>OK</v>
      </c>
      <c r="X823">
        <f t="shared" si="96"/>
        <v>1</v>
      </c>
      <c r="Y823">
        <f t="shared" si="97"/>
        <v>0.2</v>
      </c>
      <c r="Z823">
        <f t="shared" si="98"/>
        <v>10877.944000000001</v>
      </c>
      <c r="AA823">
        <f t="shared" si="99"/>
        <v>1767.8040000000019</v>
      </c>
      <c r="AB823" s="6">
        <f t="shared" si="100"/>
        <v>0.16251269541376584</v>
      </c>
      <c r="AC823" t="str">
        <f t="shared" si="101"/>
        <v>July</v>
      </c>
      <c r="AD823">
        <f t="shared" si="102"/>
        <v>2024</v>
      </c>
      <c r="AE823" t="str">
        <f t="shared" si="103"/>
        <v>Clean</v>
      </c>
    </row>
    <row r="824" spans="1:31">
      <c r="A824" t="s">
        <v>2538</v>
      </c>
      <c r="B824" s="3">
        <v>45636</v>
      </c>
      <c r="C824" s="3">
        <v>45573</v>
      </c>
      <c r="D824" t="s">
        <v>2539</v>
      </c>
      <c r="E824" t="s">
        <v>36</v>
      </c>
      <c r="F824" t="s">
        <v>90</v>
      </c>
      <c r="G824" t="s">
        <v>38</v>
      </c>
      <c r="H824" t="s">
        <v>166</v>
      </c>
      <c r="I824" t="s">
        <v>167</v>
      </c>
      <c r="J824" t="s">
        <v>41</v>
      </c>
      <c r="K824" t="s">
        <v>57</v>
      </c>
      <c r="L824" t="s">
        <v>2540</v>
      </c>
      <c r="M824" t="s">
        <v>31</v>
      </c>
      <c r="N824">
        <v>4</v>
      </c>
      <c r="O824">
        <v>3202.04</v>
      </c>
      <c r="P824">
        <v>0.2</v>
      </c>
      <c r="Q824">
        <v>10246.530000000001</v>
      </c>
      <c r="R824">
        <v>8634.42</v>
      </c>
      <c r="S824">
        <v>1612.11</v>
      </c>
      <c r="T824" t="s">
        <v>111</v>
      </c>
      <c r="U824" t="s">
        <v>103</v>
      </c>
      <c r="V824">
        <f>IF(OR(B824="Invalid Date",C824="Invalid Date"),"Invalid Date",C824-B824)</f>
        <v>-63</v>
      </c>
      <c r="W824" s="4" t="str">
        <f>IF(OR(B824="Invalid Date",C824="Invalid Date"),"Invalid Date",IF(C824&lt;B824,"Invalid Shipping","OK"))</f>
        <v>Invalid Shipping</v>
      </c>
      <c r="X824">
        <f t="shared" si="96"/>
        <v>1</v>
      </c>
      <c r="Y824">
        <f t="shared" si="97"/>
        <v>0.2</v>
      </c>
      <c r="Z824">
        <f t="shared" si="98"/>
        <v>10246.528</v>
      </c>
      <c r="AA824">
        <f t="shared" si="99"/>
        <v>1612.1080000000002</v>
      </c>
      <c r="AB824" s="6">
        <f t="shared" si="100"/>
        <v>0.15733212264681268</v>
      </c>
      <c r="AC824" t="str">
        <f t="shared" si="101"/>
        <v>December</v>
      </c>
      <c r="AD824">
        <f t="shared" si="102"/>
        <v>2024</v>
      </c>
      <c r="AE824" t="str">
        <f t="shared" si="103"/>
        <v>Invalid</v>
      </c>
    </row>
    <row r="825" spans="1:31">
      <c r="A825" t="s">
        <v>2541</v>
      </c>
      <c r="B825" s="3">
        <v>45663</v>
      </c>
      <c r="C825" s="3">
        <v>45669</v>
      </c>
      <c r="D825" t="s">
        <v>2542</v>
      </c>
      <c r="E825" t="s">
        <v>36</v>
      </c>
      <c r="F825" t="s">
        <v>95</v>
      </c>
      <c r="G825" t="s">
        <v>63</v>
      </c>
      <c r="H825" t="s">
        <v>190</v>
      </c>
      <c r="I825" t="s">
        <v>191</v>
      </c>
      <c r="J825" t="s">
        <v>28</v>
      </c>
      <c r="K825" t="s">
        <v>29</v>
      </c>
      <c r="L825" t="s">
        <v>2543</v>
      </c>
      <c r="M825" t="s">
        <v>44</v>
      </c>
      <c r="N825">
        <v>3</v>
      </c>
      <c r="O825">
        <v>668.33</v>
      </c>
      <c r="P825">
        <v>0.15</v>
      </c>
      <c r="Q825">
        <v>1704.24</v>
      </c>
      <c r="R825">
        <v>957.55</v>
      </c>
      <c r="S825">
        <v>746.69</v>
      </c>
      <c r="T825" t="s">
        <v>32</v>
      </c>
      <c r="U825" t="s">
        <v>33</v>
      </c>
      <c r="V825">
        <f>IF(OR(B825="Invalid Date",C825="Invalid Date"),"Invalid Date",C825-B825)</f>
        <v>6</v>
      </c>
      <c r="W825" s="4" t="str">
        <f>IF(OR(B825="Invalid Date",C825="Invalid Date"),"Invalid Date",IF(C825&lt;B825,"Invalid Shipping","OK"))</f>
        <v>OK</v>
      </c>
      <c r="X825">
        <f t="shared" si="96"/>
        <v>1</v>
      </c>
      <c r="Y825">
        <f t="shared" si="97"/>
        <v>0.15</v>
      </c>
      <c r="Z825">
        <f t="shared" si="98"/>
        <v>1704.2415000000001</v>
      </c>
      <c r="AA825">
        <f t="shared" si="99"/>
        <v>746.69150000000013</v>
      </c>
      <c r="AB825" s="6">
        <f t="shared" si="100"/>
        <v>0.43813714194848563</v>
      </c>
      <c r="AC825" t="str">
        <f t="shared" si="101"/>
        <v>January</v>
      </c>
      <c r="AD825">
        <f t="shared" si="102"/>
        <v>2025</v>
      </c>
      <c r="AE825" t="str">
        <f t="shared" si="103"/>
        <v>Clean</v>
      </c>
    </row>
    <row r="826" spans="1:31">
      <c r="A826" t="s">
        <v>2544</v>
      </c>
      <c r="B826" s="3">
        <v>45737</v>
      </c>
      <c r="C826" s="3">
        <v>45738</v>
      </c>
      <c r="D826" t="s">
        <v>2545</v>
      </c>
      <c r="E826" t="s">
        <v>114</v>
      </c>
      <c r="F826" t="s">
        <v>24</v>
      </c>
      <c r="G826" t="s">
        <v>63</v>
      </c>
      <c r="H826" t="s">
        <v>190</v>
      </c>
      <c r="I826" t="s">
        <v>191</v>
      </c>
      <c r="J826" t="s">
        <v>28</v>
      </c>
      <c r="K826" t="s">
        <v>29</v>
      </c>
      <c r="L826" t="s">
        <v>2546</v>
      </c>
      <c r="M826" t="s">
        <v>50</v>
      </c>
      <c r="N826">
        <v>8</v>
      </c>
      <c r="O826">
        <v>4436.74</v>
      </c>
      <c r="P826">
        <v>0.05</v>
      </c>
      <c r="Q826">
        <v>33719.22</v>
      </c>
      <c r="R826">
        <v>28924.43</v>
      </c>
      <c r="S826">
        <v>4794.79</v>
      </c>
      <c r="T826" t="s">
        <v>32</v>
      </c>
      <c r="U826" t="s">
        <v>33</v>
      </c>
      <c r="V826">
        <f>IF(OR(B826="Invalid Date",C826="Invalid Date"),"Invalid Date",C826-B826)</f>
        <v>1</v>
      </c>
      <c r="W826" s="4" t="str">
        <f>IF(OR(B826="Invalid Date",C826="Invalid Date"),"Invalid Date",IF(C826&lt;B826,"Invalid Shipping","OK"))</f>
        <v>OK</v>
      </c>
      <c r="X826">
        <f t="shared" si="96"/>
        <v>1</v>
      </c>
      <c r="Y826">
        <f t="shared" si="97"/>
        <v>0.05</v>
      </c>
      <c r="Z826">
        <f t="shared" si="98"/>
        <v>33719.223999999995</v>
      </c>
      <c r="AA826">
        <f t="shared" si="99"/>
        <v>4794.7939999999944</v>
      </c>
      <c r="AB826" s="6">
        <f t="shared" si="100"/>
        <v>0.14219763776295669</v>
      </c>
      <c r="AC826" t="str">
        <f t="shared" si="101"/>
        <v>March</v>
      </c>
      <c r="AD826">
        <f t="shared" si="102"/>
        <v>2025</v>
      </c>
      <c r="AE826" t="str">
        <f t="shared" si="103"/>
        <v>Clean</v>
      </c>
    </row>
    <row r="827" spans="1:31">
      <c r="A827" t="s">
        <v>2547</v>
      </c>
      <c r="B827" s="3">
        <v>45763</v>
      </c>
      <c r="C827" s="3">
        <v>45764</v>
      </c>
      <c r="D827" t="s">
        <v>2548</v>
      </c>
      <c r="E827" t="s">
        <v>71</v>
      </c>
      <c r="F827" t="s">
        <v>37</v>
      </c>
      <c r="G827" t="s">
        <v>25</v>
      </c>
      <c r="H827" t="s">
        <v>136</v>
      </c>
      <c r="I827" t="s">
        <v>137</v>
      </c>
      <c r="J827" t="s">
        <v>74</v>
      </c>
      <c r="K827" t="s">
        <v>274</v>
      </c>
      <c r="L827" t="s">
        <v>2549</v>
      </c>
      <c r="M827" t="s">
        <v>50</v>
      </c>
      <c r="N827">
        <v>1</v>
      </c>
      <c r="O827">
        <v>2720.17</v>
      </c>
      <c r="P827">
        <v>0</v>
      </c>
      <c r="Q827">
        <v>2720.17</v>
      </c>
      <c r="R827">
        <v>1834.23</v>
      </c>
      <c r="S827">
        <v>885.94</v>
      </c>
      <c r="T827" t="s">
        <v>32</v>
      </c>
      <c r="U827" t="s">
        <v>33</v>
      </c>
      <c r="V827">
        <f>IF(OR(B827="Invalid Date",C827="Invalid Date"),"Invalid Date",C827-B827)</f>
        <v>1</v>
      </c>
      <c r="W827" s="4" t="str">
        <f>IF(OR(B827="Invalid Date",C827="Invalid Date"),"Invalid Date",IF(C827&lt;B827,"Invalid Shipping","OK"))</f>
        <v>OK</v>
      </c>
      <c r="X827">
        <f t="shared" si="96"/>
        <v>1</v>
      </c>
      <c r="Y827">
        <f t="shared" si="97"/>
        <v>0</v>
      </c>
      <c r="Z827">
        <f t="shared" si="98"/>
        <v>2720.17</v>
      </c>
      <c r="AA827">
        <f t="shared" si="99"/>
        <v>885.94</v>
      </c>
      <c r="AB827" s="6">
        <f t="shared" si="100"/>
        <v>0.3256928794891496</v>
      </c>
      <c r="AC827" t="str">
        <f t="shared" si="101"/>
        <v>April</v>
      </c>
      <c r="AD827">
        <f t="shared" si="102"/>
        <v>2025</v>
      </c>
      <c r="AE827" t="str">
        <f t="shared" si="103"/>
        <v>Clean</v>
      </c>
    </row>
    <row r="828" spans="1:31">
      <c r="A828" t="s">
        <v>2550</v>
      </c>
      <c r="B828" s="3">
        <v>45879</v>
      </c>
      <c r="C828" s="3">
        <v>45883</v>
      </c>
      <c r="D828" t="s">
        <v>2551</v>
      </c>
      <c r="E828" t="s">
        <v>89</v>
      </c>
      <c r="F828" t="s">
        <v>24</v>
      </c>
      <c r="G828" t="s">
        <v>63</v>
      </c>
      <c r="H828" t="s">
        <v>26</v>
      </c>
      <c r="I828" t="s">
        <v>109</v>
      </c>
      <c r="J828" t="s">
        <v>74</v>
      </c>
      <c r="K828" t="s">
        <v>75</v>
      </c>
      <c r="L828" t="s">
        <v>2552</v>
      </c>
      <c r="M828" t="s">
        <v>59</v>
      </c>
      <c r="N828">
        <v>5</v>
      </c>
      <c r="O828">
        <v>2190.14</v>
      </c>
      <c r="P828">
        <v>0.25</v>
      </c>
      <c r="Q828">
        <v>8213.02</v>
      </c>
      <c r="R828">
        <v>5569.3</v>
      </c>
      <c r="S828">
        <v>2643.72</v>
      </c>
      <c r="T828" t="s">
        <v>32</v>
      </c>
      <c r="U828" t="s">
        <v>33</v>
      </c>
      <c r="V828">
        <f>IF(OR(B828="Invalid Date",C828="Invalid Date"),"Invalid Date",C828-B828)</f>
        <v>4</v>
      </c>
      <c r="W828" s="4" t="str">
        <f>IF(OR(B828="Invalid Date",C828="Invalid Date"),"Invalid Date",IF(C828&lt;B828,"Invalid Shipping","OK"))</f>
        <v>OK</v>
      </c>
      <c r="X828">
        <f t="shared" si="96"/>
        <v>1</v>
      </c>
      <c r="Y828">
        <f t="shared" si="97"/>
        <v>0.25</v>
      </c>
      <c r="Z828">
        <f t="shared" si="98"/>
        <v>8213.0249999999996</v>
      </c>
      <c r="AA828">
        <f t="shared" si="99"/>
        <v>2643.7249999999995</v>
      </c>
      <c r="AB828" s="6">
        <f t="shared" si="100"/>
        <v>0.32189418636860345</v>
      </c>
      <c r="AC828" t="str">
        <f t="shared" si="101"/>
        <v>August</v>
      </c>
      <c r="AD828">
        <f t="shared" si="102"/>
        <v>2025</v>
      </c>
      <c r="AE828" t="str">
        <f t="shared" si="103"/>
        <v>Clean</v>
      </c>
    </row>
    <row r="829" spans="1:31">
      <c r="A829" t="s">
        <v>2553</v>
      </c>
      <c r="B829" s="3">
        <v>45620</v>
      </c>
      <c r="C829" s="3">
        <v>45627</v>
      </c>
      <c r="D829" t="s">
        <v>2554</v>
      </c>
      <c r="E829" t="s">
        <v>114</v>
      </c>
      <c r="F829" t="s">
        <v>95</v>
      </c>
      <c r="G829" t="s">
        <v>54</v>
      </c>
      <c r="H829" t="s">
        <v>247</v>
      </c>
      <c r="I829" t="s">
        <v>248</v>
      </c>
      <c r="J829" t="s">
        <v>28</v>
      </c>
      <c r="K829" t="s">
        <v>29</v>
      </c>
      <c r="L829" t="s">
        <v>2555</v>
      </c>
      <c r="M829" t="s">
        <v>44</v>
      </c>
      <c r="N829">
        <v>1</v>
      </c>
      <c r="O829">
        <v>844.89</v>
      </c>
      <c r="P829">
        <v>0.25</v>
      </c>
      <c r="Q829">
        <v>633.66999999999996</v>
      </c>
      <c r="R829">
        <v>520.47</v>
      </c>
      <c r="S829">
        <v>113.2</v>
      </c>
      <c r="T829" t="s">
        <v>32</v>
      </c>
      <c r="U829" t="s">
        <v>68</v>
      </c>
      <c r="V829">
        <f>IF(OR(B829="Invalid Date",C829="Invalid Date"),"Invalid Date",C829-B829)</f>
        <v>7</v>
      </c>
      <c r="W829" s="4" t="str">
        <f>IF(OR(B829="Invalid Date",C829="Invalid Date"),"Invalid Date",IF(C829&lt;B829,"Invalid Shipping","OK"))</f>
        <v>OK</v>
      </c>
      <c r="X829">
        <f t="shared" si="96"/>
        <v>1</v>
      </c>
      <c r="Y829">
        <f t="shared" si="97"/>
        <v>0.25</v>
      </c>
      <c r="Z829">
        <f t="shared" si="98"/>
        <v>633.66750000000002</v>
      </c>
      <c r="AA829">
        <f t="shared" si="99"/>
        <v>113.19749999999999</v>
      </c>
      <c r="AB829" s="6">
        <f t="shared" si="100"/>
        <v>0.17863863934950111</v>
      </c>
      <c r="AC829" t="str">
        <f t="shared" si="101"/>
        <v>November</v>
      </c>
      <c r="AD829">
        <f t="shared" si="102"/>
        <v>2024</v>
      </c>
      <c r="AE829" t="str">
        <f t="shared" si="103"/>
        <v>Clean</v>
      </c>
    </row>
    <row r="830" spans="1:31">
      <c r="A830" t="s">
        <v>2556</v>
      </c>
      <c r="B830" s="3">
        <v>45940</v>
      </c>
      <c r="C830" s="3">
        <v>45941</v>
      </c>
      <c r="D830" t="s">
        <v>2557</v>
      </c>
      <c r="E830" t="s">
        <v>23</v>
      </c>
      <c r="F830" t="s">
        <v>90</v>
      </c>
      <c r="G830" t="s">
        <v>38</v>
      </c>
      <c r="H830" t="s">
        <v>39</v>
      </c>
      <c r="I830" t="s">
        <v>40</v>
      </c>
      <c r="J830" t="s">
        <v>41</v>
      </c>
      <c r="K830" t="s">
        <v>66</v>
      </c>
      <c r="L830" t="s">
        <v>2558</v>
      </c>
      <c r="M830" t="s">
        <v>31</v>
      </c>
      <c r="N830">
        <v>7</v>
      </c>
      <c r="O830">
        <v>3791.96</v>
      </c>
      <c r="P830">
        <v>0.05</v>
      </c>
      <c r="Q830">
        <v>25216.53</v>
      </c>
      <c r="R830">
        <v>14216.94</v>
      </c>
      <c r="S830">
        <v>10999.59</v>
      </c>
      <c r="T830" t="s">
        <v>155</v>
      </c>
      <c r="U830" t="s">
        <v>68</v>
      </c>
      <c r="V830">
        <f>IF(OR(B830="Invalid Date",C830="Invalid Date"),"Invalid Date",C830-B830)</f>
        <v>1</v>
      </c>
      <c r="W830" s="4" t="str">
        <f>IF(OR(B830="Invalid Date",C830="Invalid Date"),"Invalid Date",IF(C830&lt;B830,"Invalid Shipping","OK"))</f>
        <v>OK</v>
      </c>
      <c r="X830">
        <f t="shared" si="96"/>
        <v>1</v>
      </c>
      <c r="Y830">
        <f t="shared" si="97"/>
        <v>0.05</v>
      </c>
      <c r="Z830">
        <f t="shared" si="98"/>
        <v>25216.534</v>
      </c>
      <c r="AA830">
        <f t="shared" si="99"/>
        <v>10999.593999999999</v>
      </c>
      <c r="AB830" s="6">
        <f t="shared" si="100"/>
        <v>0.4362056260388521</v>
      </c>
      <c r="AC830" t="str">
        <f t="shared" si="101"/>
        <v>October</v>
      </c>
      <c r="AD830">
        <f t="shared" si="102"/>
        <v>2025</v>
      </c>
      <c r="AE830" t="str">
        <f t="shared" si="103"/>
        <v>Clean</v>
      </c>
    </row>
    <row r="831" spans="1:31">
      <c r="A831" t="s">
        <v>2559</v>
      </c>
      <c r="B831" s="3" t="s">
        <v>2763</v>
      </c>
      <c r="C831" s="3">
        <v>45350</v>
      </c>
      <c r="D831" t="s">
        <v>2560</v>
      </c>
      <c r="E831" t="s">
        <v>89</v>
      </c>
      <c r="F831" t="s">
        <v>37</v>
      </c>
      <c r="G831" t="s">
        <v>63</v>
      </c>
      <c r="H831" t="s">
        <v>190</v>
      </c>
      <c r="I831" t="s">
        <v>191</v>
      </c>
      <c r="J831" t="s">
        <v>41</v>
      </c>
      <c r="K831" t="s">
        <v>57</v>
      </c>
      <c r="L831" t="s">
        <v>2561</v>
      </c>
      <c r="M831" t="s">
        <v>31</v>
      </c>
      <c r="N831">
        <v>7</v>
      </c>
      <c r="O831">
        <v>1035.1400000000001</v>
      </c>
      <c r="P831">
        <v>0.1</v>
      </c>
      <c r="Q831">
        <v>6521.38</v>
      </c>
      <c r="R831">
        <v>4511.1000000000004</v>
      </c>
      <c r="S831">
        <v>2010.28</v>
      </c>
      <c r="T831" t="s">
        <v>32</v>
      </c>
      <c r="U831" t="s">
        <v>33</v>
      </c>
      <c r="V831" t="str">
        <f>IF(OR(B831="Invalid Date",C831="Invalid Date"),"Invalid Date",C831-B831)</f>
        <v>Invalid Date</v>
      </c>
      <c r="W831" s="4" t="str">
        <f>IF(OR(B831="Invalid Date",C831="Invalid Date"),"Invalid Date",IF(C831&lt;B831,"Invalid Shipping","OK"))</f>
        <v>Invalid Date</v>
      </c>
      <c r="X831">
        <f t="shared" si="96"/>
        <v>1</v>
      </c>
      <c r="Y831">
        <f t="shared" si="97"/>
        <v>0.1</v>
      </c>
      <c r="Z831">
        <f t="shared" si="98"/>
        <v>6521.3820000000005</v>
      </c>
      <c r="AA831">
        <f t="shared" si="99"/>
        <v>2010.2820000000002</v>
      </c>
      <c r="AB831" s="6">
        <f t="shared" si="100"/>
        <v>0.30826012032418892</v>
      </c>
      <c r="AC831" t="str">
        <f t="shared" si="101"/>
        <v/>
      </c>
      <c r="AD831" t="str">
        <f t="shared" si="102"/>
        <v/>
      </c>
      <c r="AE831" t="str">
        <f t="shared" si="103"/>
        <v>Invalid</v>
      </c>
    </row>
    <row r="832" spans="1:31">
      <c r="A832" t="s">
        <v>2562</v>
      </c>
      <c r="B832" s="3">
        <v>45853</v>
      </c>
      <c r="C832" s="3">
        <v>45856</v>
      </c>
      <c r="D832" t="s">
        <v>2563</v>
      </c>
      <c r="E832" t="s">
        <v>89</v>
      </c>
      <c r="F832" t="s">
        <v>37</v>
      </c>
      <c r="G832" t="s">
        <v>2767</v>
      </c>
      <c r="H832" t="s">
        <v>247</v>
      </c>
      <c r="I832" t="s">
        <v>248</v>
      </c>
      <c r="J832" t="s">
        <v>74</v>
      </c>
      <c r="K832" t="s">
        <v>274</v>
      </c>
      <c r="L832" t="s">
        <v>2564</v>
      </c>
      <c r="M832" t="s">
        <v>50</v>
      </c>
      <c r="N832">
        <v>6</v>
      </c>
      <c r="O832">
        <v>2382.88</v>
      </c>
      <c r="P832">
        <v>0.1</v>
      </c>
      <c r="Q832">
        <v>12867.55</v>
      </c>
      <c r="R832">
        <v>10068.94</v>
      </c>
      <c r="S832">
        <v>2798.61</v>
      </c>
      <c r="T832" t="s">
        <v>32</v>
      </c>
      <c r="U832" t="s">
        <v>33</v>
      </c>
      <c r="V832">
        <f>IF(OR(B832="Invalid Date",C832="Invalid Date"),"Invalid Date",C832-B832)</f>
        <v>3</v>
      </c>
      <c r="W832" s="4" t="str">
        <f>IF(OR(B832="Invalid Date",C832="Invalid Date"),"Invalid Date",IF(C832&lt;B832,"Invalid Shipping","OK"))</f>
        <v>OK</v>
      </c>
      <c r="X832">
        <f t="shared" si="96"/>
        <v>1</v>
      </c>
      <c r="Y832">
        <f t="shared" si="97"/>
        <v>0.1</v>
      </c>
      <c r="Z832">
        <f t="shared" si="98"/>
        <v>12867.552000000001</v>
      </c>
      <c r="AA832">
        <f t="shared" si="99"/>
        <v>2798.612000000001</v>
      </c>
      <c r="AB832" s="6">
        <f t="shared" si="100"/>
        <v>0.21749373929089236</v>
      </c>
      <c r="AC832" t="str">
        <f t="shared" si="101"/>
        <v>July</v>
      </c>
      <c r="AD832">
        <f t="shared" si="102"/>
        <v>2025</v>
      </c>
      <c r="AE832" t="str">
        <f t="shared" si="103"/>
        <v>Warning</v>
      </c>
    </row>
    <row r="833" spans="1:31">
      <c r="A833" t="s">
        <v>2565</v>
      </c>
      <c r="B833" s="3">
        <v>45720</v>
      </c>
      <c r="C833" s="3">
        <v>45750</v>
      </c>
      <c r="D833" t="s">
        <v>2566</v>
      </c>
      <c r="E833" t="s">
        <v>162</v>
      </c>
      <c r="F833" t="s">
        <v>95</v>
      </c>
      <c r="G833" t="s">
        <v>2767</v>
      </c>
      <c r="H833" t="s">
        <v>236</v>
      </c>
      <c r="I833" t="s">
        <v>237</v>
      </c>
      <c r="J833" t="s">
        <v>41</v>
      </c>
      <c r="K833" t="s">
        <v>66</v>
      </c>
      <c r="L833" t="s">
        <v>2567</v>
      </c>
      <c r="M833" t="s">
        <v>50</v>
      </c>
      <c r="N833">
        <v>9</v>
      </c>
      <c r="O833">
        <v>3462.7</v>
      </c>
      <c r="P833">
        <v>0.15</v>
      </c>
      <c r="Q833">
        <v>26489.65</v>
      </c>
      <c r="R833">
        <v>15818.46</v>
      </c>
      <c r="S833">
        <v>10671.19</v>
      </c>
      <c r="T833" t="s">
        <v>155</v>
      </c>
      <c r="U833" t="s">
        <v>103</v>
      </c>
      <c r="V833">
        <f>IF(OR(B833="Invalid Date",C833="Invalid Date"),"Invalid Date",C833-B833)</f>
        <v>30</v>
      </c>
      <c r="W833" s="4" t="str">
        <f>IF(OR(B833="Invalid Date",C833="Invalid Date"),"Invalid Date",IF(C833&lt;B833,"Invalid Shipping","OK"))</f>
        <v>OK</v>
      </c>
      <c r="X833">
        <f t="shared" si="96"/>
        <v>1</v>
      </c>
      <c r="Y833">
        <f t="shared" si="97"/>
        <v>0.15</v>
      </c>
      <c r="Z833">
        <f t="shared" si="98"/>
        <v>26489.654999999999</v>
      </c>
      <c r="AA833">
        <f t="shared" si="99"/>
        <v>10671.195</v>
      </c>
      <c r="AB833" s="6">
        <f t="shared" si="100"/>
        <v>0.40284386489744772</v>
      </c>
      <c r="AC833" t="str">
        <f t="shared" si="101"/>
        <v>March</v>
      </c>
      <c r="AD833">
        <f t="shared" si="102"/>
        <v>2025</v>
      </c>
      <c r="AE833" t="str">
        <f t="shared" si="103"/>
        <v>Warning</v>
      </c>
    </row>
    <row r="834" spans="1:31">
      <c r="A834" t="s">
        <v>2568</v>
      </c>
      <c r="B834" s="3">
        <v>45803</v>
      </c>
      <c r="C834" s="3">
        <v>45805</v>
      </c>
      <c r="D834" t="s">
        <v>2569</v>
      </c>
      <c r="E834" t="s">
        <v>264</v>
      </c>
      <c r="F834" t="s">
        <v>37</v>
      </c>
      <c r="G834" t="s">
        <v>54</v>
      </c>
      <c r="H834" t="s">
        <v>84</v>
      </c>
      <c r="I834" t="s">
        <v>85</v>
      </c>
      <c r="J834" t="s">
        <v>74</v>
      </c>
      <c r="K834" t="s">
        <v>171</v>
      </c>
      <c r="L834" t="s">
        <v>2570</v>
      </c>
      <c r="M834" t="s">
        <v>31</v>
      </c>
      <c r="N834">
        <v>9</v>
      </c>
      <c r="O834">
        <v>4302.0200000000004</v>
      </c>
      <c r="P834">
        <v>0.05</v>
      </c>
      <c r="Q834">
        <v>36782.269999999997</v>
      </c>
      <c r="R834">
        <v>25902.81</v>
      </c>
      <c r="S834">
        <v>10879.46</v>
      </c>
      <c r="T834" t="s">
        <v>32</v>
      </c>
      <c r="U834" t="s">
        <v>33</v>
      </c>
      <c r="V834">
        <f>IF(OR(B834="Invalid Date",C834="Invalid Date"),"Invalid Date",C834-B834)</f>
        <v>2</v>
      </c>
      <c r="W834" s="4" t="str">
        <f>IF(OR(B834="Invalid Date",C834="Invalid Date"),"Invalid Date",IF(C834&lt;B834,"Invalid Shipping","OK"))</f>
        <v>OK</v>
      </c>
      <c r="X834">
        <f t="shared" si="96"/>
        <v>1</v>
      </c>
      <c r="Y834">
        <f t="shared" si="97"/>
        <v>0.05</v>
      </c>
      <c r="Z834">
        <f t="shared" si="98"/>
        <v>36782.271000000008</v>
      </c>
      <c r="AA834">
        <f t="shared" si="99"/>
        <v>10879.461000000007</v>
      </c>
      <c r="AB834" s="6">
        <f t="shared" si="100"/>
        <v>0.29578002402298664</v>
      </c>
      <c r="AC834" t="str">
        <f t="shared" si="101"/>
        <v>May</v>
      </c>
      <c r="AD834">
        <f t="shared" si="102"/>
        <v>2025</v>
      </c>
      <c r="AE834" t="str">
        <f t="shared" si="103"/>
        <v>Clean</v>
      </c>
    </row>
    <row r="835" spans="1:31">
      <c r="A835" t="s">
        <v>2571</v>
      </c>
      <c r="B835" s="3">
        <v>45447</v>
      </c>
      <c r="C835" s="3">
        <v>45388</v>
      </c>
      <c r="D835" t="s">
        <v>2572</v>
      </c>
      <c r="E835" t="s">
        <v>118</v>
      </c>
      <c r="F835" t="s">
        <v>95</v>
      </c>
      <c r="G835" t="s">
        <v>38</v>
      </c>
      <c r="H835" t="s">
        <v>99</v>
      </c>
      <c r="I835" t="s">
        <v>100</v>
      </c>
      <c r="J835" t="s">
        <v>41</v>
      </c>
      <c r="K835" t="s">
        <v>158</v>
      </c>
      <c r="L835" t="s">
        <v>2573</v>
      </c>
      <c r="M835" t="s">
        <v>50</v>
      </c>
      <c r="N835">
        <v>6</v>
      </c>
      <c r="O835">
        <v>3949.4</v>
      </c>
      <c r="P835">
        <v>0</v>
      </c>
      <c r="Q835">
        <v>23696.400000000001</v>
      </c>
      <c r="R835">
        <v>18109.77</v>
      </c>
      <c r="S835">
        <v>5586.63</v>
      </c>
      <c r="T835" t="s">
        <v>32</v>
      </c>
      <c r="U835" t="s">
        <v>33</v>
      </c>
      <c r="V835">
        <f>IF(OR(B835="Invalid Date",C835="Invalid Date"),"Invalid Date",C835-B835)</f>
        <v>-59</v>
      </c>
      <c r="W835" s="4" t="str">
        <f>IF(OR(B835="Invalid Date",C835="Invalid Date"),"Invalid Date",IF(C835&lt;B835,"Invalid Shipping","OK"))</f>
        <v>Invalid Shipping</v>
      </c>
      <c r="X835">
        <f t="shared" ref="X835:X898" si="104">COUNTIF($A:$A,A835)</f>
        <v>1</v>
      </c>
      <c r="Y835">
        <f t="shared" ref="Y835:Y898" si="105">IF(P835="",0,IF(OR(P835&lt;0,P835&gt;1),"Invalid",P835))</f>
        <v>0</v>
      </c>
      <c r="Z835">
        <f t="shared" ref="Z835:Z898" si="106">IF(ISTEXT(Y835),"",N835*O835*(1-Y835))</f>
        <v>23696.400000000001</v>
      </c>
      <c r="AA835">
        <f t="shared" ref="AA835:AA898" si="107">IF(Z835="","",Z835-R835)</f>
        <v>5586.630000000001</v>
      </c>
      <c r="AB835" s="6">
        <f t="shared" ref="AB835:AB898" si="108">IF(OR(Z835="",Z835=0),"",AA835/Z835)</f>
        <v>0.23575859624246723</v>
      </c>
      <c r="AC835" t="str">
        <f t="shared" ref="AC835:AC898" si="109">IF(ISNUMBER(B835),TEXT(B835,"mmmm"),"")</f>
        <v>June</v>
      </c>
      <c r="AD835">
        <f t="shared" ref="AD835:AD898" si="110">IF(ISNUMBER(B835),YEAR(B835),"")</f>
        <v>2024</v>
      </c>
      <c r="AE835" t="str">
        <f t="shared" ref="AE835:AE898" si="111">IF(OR(B835="Invalid Date",C835="Invalid Date",W835="Invalid Date",W835="Invalid Shipping",Y835="Invalid"),"Invalid",IF(OR(G835="Unknown",M835="Unknown"),"Warning","Clean"))</f>
        <v>Invalid</v>
      </c>
    </row>
    <row r="836" spans="1:31">
      <c r="A836" t="s">
        <v>2574</v>
      </c>
      <c r="B836" s="3">
        <v>45583</v>
      </c>
      <c r="C836" s="3">
        <v>45587</v>
      </c>
      <c r="D836" t="s">
        <v>2575</v>
      </c>
      <c r="E836" t="s">
        <v>128</v>
      </c>
      <c r="F836" t="s">
        <v>95</v>
      </c>
      <c r="G836" t="s">
        <v>54</v>
      </c>
      <c r="H836" t="s">
        <v>55</v>
      </c>
      <c r="I836" t="s">
        <v>56</v>
      </c>
      <c r="J836" t="s">
        <v>28</v>
      </c>
      <c r="K836" t="s">
        <v>48</v>
      </c>
      <c r="L836" t="s">
        <v>2576</v>
      </c>
      <c r="M836" t="s">
        <v>50</v>
      </c>
      <c r="N836">
        <v>6</v>
      </c>
      <c r="O836">
        <v>674.61</v>
      </c>
      <c r="P836">
        <v>0</v>
      </c>
      <c r="Q836">
        <v>4047.66</v>
      </c>
      <c r="R836">
        <v>3078.93</v>
      </c>
      <c r="S836">
        <v>1279.79</v>
      </c>
      <c r="T836" t="s">
        <v>32</v>
      </c>
      <c r="U836" t="s">
        <v>33</v>
      </c>
      <c r="V836">
        <f>IF(OR(B836="Invalid Date",C836="Invalid Date"),"Invalid Date",C836-B836)</f>
        <v>4</v>
      </c>
      <c r="W836" s="4" t="str">
        <f>IF(OR(B836="Invalid Date",C836="Invalid Date"),"Invalid Date",IF(C836&lt;B836,"Invalid Shipping","OK"))</f>
        <v>OK</v>
      </c>
      <c r="X836">
        <f t="shared" si="104"/>
        <v>1</v>
      </c>
      <c r="Y836">
        <f t="shared" si="105"/>
        <v>0</v>
      </c>
      <c r="Z836">
        <f t="shared" si="106"/>
        <v>4047.66</v>
      </c>
      <c r="AA836">
        <f t="shared" si="107"/>
        <v>968.73</v>
      </c>
      <c r="AB836" s="6">
        <f t="shared" si="108"/>
        <v>0.23933087265234729</v>
      </c>
      <c r="AC836" t="str">
        <f t="shared" si="109"/>
        <v>October</v>
      </c>
      <c r="AD836">
        <f t="shared" si="110"/>
        <v>2024</v>
      </c>
      <c r="AE836" t="str">
        <f t="shared" si="111"/>
        <v>Clean</v>
      </c>
    </row>
    <row r="837" spans="1:31">
      <c r="A837" t="s">
        <v>2577</v>
      </c>
      <c r="B837" s="3" t="s">
        <v>2763</v>
      </c>
      <c r="C837" s="3">
        <v>45934</v>
      </c>
      <c r="D837" t="s">
        <v>2578</v>
      </c>
      <c r="E837" t="s">
        <v>114</v>
      </c>
      <c r="F837" t="s">
        <v>37</v>
      </c>
      <c r="G837" t="s">
        <v>38</v>
      </c>
      <c r="H837" t="s">
        <v>166</v>
      </c>
      <c r="I837" t="s">
        <v>167</v>
      </c>
      <c r="J837" t="s">
        <v>74</v>
      </c>
      <c r="K837" t="s">
        <v>171</v>
      </c>
      <c r="L837" t="s">
        <v>2579</v>
      </c>
      <c r="M837" t="s">
        <v>31</v>
      </c>
      <c r="N837">
        <v>7</v>
      </c>
      <c r="O837">
        <v>1509.59</v>
      </c>
      <c r="P837">
        <v>0.05</v>
      </c>
      <c r="Q837">
        <v>10038.77</v>
      </c>
      <c r="R837">
        <v>5673.1</v>
      </c>
      <c r="S837">
        <v>4365.67</v>
      </c>
      <c r="T837" t="s">
        <v>32</v>
      </c>
      <c r="U837" t="s">
        <v>33</v>
      </c>
      <c r="V837" t="str">
        <f>IF(OR(B837="Invalid Date",C837="Invalid Date"),"Invalid Date",C837-B837)</f>
        <v>Invalid Date</v>
      </c>
      <c r="W837" s="4" t="str">
        <f>IF(OR(B837="Invalid Date",C837="Invalid Date"),"Invalid Date",IF(C837&lt;B837,"Invalid Shipping","OK"))</f>
        <v>Invalid Date</v>
      </c>
      <c r="X837">
        <f t="shared" si="104"/>
        <v>1</v>
      </c>
      <c r="Y837">
        <f t="shared" si="105"/>
        <v>0.05</v>
      </c>
      <c r="Z837">
        <f t="shared" si="106"/>
        <v>10038.773499999999</v>
      </c>
      <c r="AA837">
        <f t="shared" si="107"/>
        <v>4365.673499999999</v>
      </c>
      <c r="AB837" s="6">
        <f t="shared" si="108"/>
        <v>0.43488116352062323</v>
      </c>
      <c r="AC837" t="str">
        <f t="shared" si="109"/>
        <v/>
      </c>
      <c r="AD837" t="str">
        <f t="shared" si="110"/>
        <v/>
      </c>
      <c r="AE837" t="str">
        <f t="shared" si="111"/>
        <v>Invalid</v>
      </c>
    </row>
    <row r="838" spans="1:31">
      <c r="A838" t="s">
        <v>2580</v>
      </c>
      <c r="B838" s="3">
        <v>45641</v>
      </c>
      <c r="C838" s="3">
        <v>45644</v>
      </c>
      <c r="D838" t="s">
        <v>2581</v>
      </c>
      <c r="E838" t="s">
        <v>47</v>
      </c>
      <c r="F838" t="s">
        <v>37</v>
      </c>
      <c r="G838" t="s">
        <v>25</v>
      </c>
      <c r="H838" t="s">
        <v>26</v>
      </c>
      <c r="I838" t="s">
        <v>27</v>
      </c>
      <c r="J838" t="s">
        <v>28</v>
      </c>
      <c r="K838" t="s">
        <v>91</v>
      </c>
      <c r="L838" t="s">
        <v>2582</v>
      </c>
      <c r="M838" t="s">
        <v>31</v>
      </c>
      <c r="N838">
        <v>2</v>
      </c>
      <c r="O838">
        <v>537.11</v>
      </c>
      <c r="P838">
        <v>0</v>
      </c>
      <c r="Q838">
        <v>1074.22</v>
      </c>
      <c r="R838">
        <v>850.86</v>
      </c>
      <c r="S838">
        <v>223.36</v>
      </c>
      <c r="T838" t="s">
        <v>32</v>
      </c>
      <c r="U838" t="s">
        <v>33</v>
      </c>
      <c r="V838">
        <f>IF(OR(B838="Invalid Date",C838="Invalid Date"),"Invalid Date",C838-B838)</f>
        <v>3</v>
      </c>
      <c r="W838" s="4" t="str">
        <f>IF(OR(B838="Invalid Date",C838="Invalid Date"),"Invalid Date",IF(C838&lt;B838,"Invalid Shipping","OK"))</f>
        <v>OK</v>
      </c>
      <c r="X838">
        <f t="shared" si="104"/>
        <v>1</v>
      </c>
      <c r="Y838">
        <f t="shared" si="105"/>
        <v>0</v>
      </c>
      <c r="Z838">
        <f t="shared" si="106"/>
        <v>1074.22</v>
      </c>
      <c r="AA838">
        <f t="shared" si="107"/>
        <v>223.36</v>
      </c>
      <c r="AB838" s="6">
        <f t="shared" si="108"/>
        <v>0.20792761259332354</v>
      </c>
      <c r="AC838" t="str">
        <f t="shared" si="109"/>
        <v>December</v>
      </c>
      <c r="AD838">
        <f t="shared" si="110"/>
        <v>2024</v>
      </c>
      <c r="AE838" t="str">
        <f t="shared" si="111"/>
        <v>Clean</v>
      </c>
    </row>
    <row r="839" spans="1:31">
      <c r="A839" t="s">
        <v>2583</v>
      </c>
      <c r="B839" s="3">
        <v>45927</v>
      </c>
      <c r="C839" s="3" t="s">
        <v>2763</v>
      </c>
      <c r="D839" t="s">
        <v>2584</v>
      </c>
      <c r="E839" t="s">
        <v>23</v>
      </c>
      <c r="F839" t="s">
        <v>95</v>
      </c>
      <c r="G839" t="s">
        <v>63</v>
      </c>
      <c r="H839" t="s">
        <v>64</v>
      </c>
      <c r="I839" t="s">
        <v>65</v>
      </c>
      <c r="J839" t="s">
        <v>28</v>
      </c>
      <c r="K839" t="s">
        <v>29</v>
      </c>
      <c r="L839" t="s">
        <v>2585</v>
      </c>
      <c r="M839" t="s">
        <v>50</v>
      </c>
      <c r="N839">
        <v>3</v>
      </c>
      <c r="O839">
        <v>4177.63</v>
      </c>
      <c r="P839">
        <v>0.25</v>
      </c>
      <c r="Q839">
        <v>9399.67</v>
      </c>
      <c r="R839">
        <v>6540.37</v>
      </c>
      <c r="S839">
        <v>2859.3</v>
      </c>
      <c r="T839" t="s">
        <v>32</v>
      </c>
      <c r="U839" t="s">
        <v>33</v>
      </c>
      <c r="V839" t="str">
        <f>IF(OR(B839="Invalid Date",C839="Invalid Date"),"Invalid Date",C839-B839)</f>
        <v>Invalid Date</v>
      </c>
      <c r="W839" s="4" t="str">
        <f>IF(OR(B839="Invalid Date",C839="Invalid Date"),"Invalid Date",IF(C839&lt;B839,"Invalid Shipping","OK"))</f>
        <v>Invalid Date</v>
      </c>
      <c r="X839">
        <f t="shared" si="104"/>
        <v>1</v>
      </c>
      <c r="Y839">
        <f t="shared" si="105"/>
        <v>0.25</v>
      </c>
      <c r="Z839">
        <f t="shared" si="106"/>
        <v>9399.6674999999996</v>
      </c>
      <c r="AA839">
        <f t="shared" si="107"/>
        <v>2859.2974999999997</v>
      </c>
      <c r="AB839" s="6">
        <f t="shared" si="108"/>
        <v>0.30419134506619516</v>
      </c>
      <c r="AC839" t="str">
        <f t="shared" si="109"/>
        <v>September</v>
      </c>
      <c r="AD839">
        <f t="shared" si="110"/>
        <v>2025</v>
      </c>
      <c r="AE839" t="str">
        <f t="shared" si="111"/>
        <v>Invalid</v>
      </c>
    </row>
    <row r="840" spans="1:31">
      <c r="A840" t="s">
        <v>2586</v>
      </c>
      <c r="B840" s="3">
        <v>45720</v>
      </c>
      <c r="C840" s="3">
        <v>45754</v>
      </c>
      <c r="D840" t="s">
        <v>2587</v>
      </c>
      <c r="E840" t="s">
        <v>62</v>
      </c>
      <c r="F840" t="s">
        <v>37</v>
      </c>
      <c r="G840" t="s">
        <v>63</v>
      </c>
      <c r="H840" t="s">
        <v>190</v>
      </c>
      <c r="I840" t="s">
        <v>191</v>
      </c>
      <c r="J840" t="s">
        <v>28</v>
      </c>
      <c r="K840" t="s">
        <v>29</v>
      </c>
      <c r="L840" t="s">
        <v>2588</v>
      </c>
      <c r="M840" t="s">
        <v>44</v>
      </c>
      <c r="N840">
        <v>1</v>
      </c>
      <c r="O840">
        <v>1470.57</v>
      </c>
      <c r="P840">
        <v>0</v>
      </c>
      <c r="Q840">
        <v>1470.57</v>
      </c>
      <c r="R840">
        <v>834.02</v>
      </c>
      <c r="S840">
        <v>636.54999999999995</v>
      </c>
      <c r="T840" t="s">
        <v>32</v>
      </c>
      <c r="U840" t="s">
        <v>103</v>
      </c>
      <c r="V840">
        <f>IF(OR(B840="Invalid Date",C840="Invalid Date"),"Invalid Date",C840-B840)</f>
        <v>34</v>
      </c>
      <c r="W840" s="4" t="str">
        <f>IF(OR(B840="Invalid Date",C840="Invalid Date"),"Invalid Date",IF(C840&lt;B840,"Invalid Shipping","OK"))</f>
        <v>OK</v>
      </c>
      <c r="X840">
        <f t="shared" si="104"/>
        <v>1</v>
      </c>
      <c r="Y840">
        <f t="shared" si="105"/>
        <v>0</v>
      </c>
      <c r="Z840">
        <f t="shared" si="106"/>
        <v>1470.57</v>
      </c>
      <c r="AA840">
        <f t="shared" si="107"/>
        <v>636.54999999999995</v>
      </c>
      <c r="AB840" s="6">
        <f t="shared" si="108"/>
        <v>0.43285936745615644</v>
      </c>
      <c r="AC840" t="str">
        <f t="shared" si="109"/>
        <v>March</v>
      </c>
      <c r="AD840">
        <f t="shared" si="110"/>
        <v>2025</v>
      </c>
      <c r="AE840" t="str">
        <f t="shared" si="111"/>
        <v>Clean</v>
      </c>
    </row>
    <row r="841" spans="1:31">
      <c r="A841" t="s">
        <v>2589</v>
      </c>
      <c r="B841" s="3" t="s">
        <v>2763</v>
      </c>
      <c r="C841" s="3">
        <v>45557</v>
      </c>
      <c r="D841" t="s">
        <v>2590</v>
      </c>
      <c r="E841" t="s">
        <v>141</v>
      </c>
      <c r="F841" t="s">
        <v>95</v>
      </c>
      <c r="G841" t="s">
        <v>38</v>
      </c>
      <c r="H841" t="s">
        <v>39</v>
      </c>
      <c r="I841" t="s">
        <v>40</v>
      </c>
      <c r="J841" t="s">
        <v>74</v>
      </c>
      <c r="K841" t="s">
        <v>171</v>
      </c>
      <c r="L841" t="s">
        <v>2591</v>
      </c>
      <c r="M841" t="s">
        <v>59</v>
      </c>
      <c r="N841">
        <v>8</v>
      </c>
      <c r="O841">
        <v>531.42999999999995</v>
      </c>
      <c r="P841">
        <v>0.1</v>
      </c>
      <c r="Q841">
        <v>3826.3</v>
      </c>
      <c r="R841">
        <v>2194.12</v>
      </c>
      <c r="S841">
        <v>1632.18</v>
      </c>
      <c r="T841" t="s">
        <v>32</v>
      </c>
      <c r="U841" t="s">
        <v>33</v>
      </c>
      <c r="V841" t="str">
        <f>IF(OR(B841="Invalid Date",C841="Invalid Date"),"Invalid Date",C841-B841)</f>
        <v>Invalid Date</v>
      </c>
      <c r="W841" s="4" t="str">
        <f>IF(OR(B841="Invalid Date",C841="Invalid Date"),"Invalid Date",IF(C841&lt;B841,"Invalid Shipping","OK"))</f>
        <v>Invalid Date</v>
      </c>
      <c r="X841">
        <f t="shared" si="104"/>
        <v>1</v>
      </c>
      <c r="Y841">
        <f t="shared" si="105"/>
        <v>0.1</v>
      </c>
      <c r="Z841">
        <f t="shared" si="106"/>
        <v>3826.2959999999998</v>
      </c>
      <c r="AA841">
        <f t="shared" si="107"/>
        <v>1632.1759999999999</v>
      </c>
      <c r="AB841" s="6">
        <f t="shared" si="108"/>
        <v>0.42656814841298218</v>
      </c>
      <c r="AC841" t="str">
        <f t="shared" si="109"/>
        <v/>
      </c>
      <c r="AD841" t="str">
        <f t="shared" si="110"/>
        <v/>
      </c>
      <c r="AE841" t="str">
        <f t="shared" si="111"/>
        <v>Invalid</v>
      </c>
    </row>
    <row r="842" spans="1:31">
      <c r="A842" t="s">
        <v>2592</v>
      </c>
      <c r="B842" s="3">
        <v>45919</v>
      </c>
      <c r="C842" s="3">
        <v>45919</v>
      </c>
      <c r="D842" t="s">
        <v>2593</v>
      </c>
      <c r="E842" t="s">
        <v>79</v>
      </c>
      <c r="F842" t="s">
        <v>95</v>
      </c>
      <c r="G842" t="s">
        <v>25</v>
      </c>
      <c r="H842" t="s">
        <v>350</v>
      </c>
      <c r="I842" t="s">
        <v>351</v>
      </c>
      <c r="J842" t="s">
        <v>41</v>
      </c>
      <c r="K842" t="s">
        <v>66</v>
      </c>
      <c r="L842" t="s">
        <v>2594</v>
      </c>
      <c r="M842" t="s">
        <v>44</v>
      </c>
      <c r="N842">
        <v>4</v>
      </c>
      <c r="O842">
        <v>1584.11</v>
      </c>
      <c r="P842">
        <v>0</v>
      </c>
      <c r="Q842">
        <v>6336.44</v>
      </c>
      <c r="R842">
        <v>4680.68</v>
      </c>
      <c r="S842">
        <v>1655.76</v>
      </c>
      <c r="T842" t="s">
        <v>32</v>
      </c>
      <c r="U842" t="s">
        <v>33</v>
      </c>
      <c r="V842">
        <f>IF(OR(B842="Invalid Date",C842="Invalid Date"),"Invalid Date",C842-B842)</f>
        <v>0</v>
      </c>
      <c r="W842" s="4" t="str">
        <f>IF(OR(B842="Invalid Date",C842="Invalid Date"),"Invalid Date",IF(C842&lt;B842,"Invalid Shipping","OK"))</f>
        <v>OK</v>
      </c>
      <c r="X842">
        <f t="shared" si="104"/>
        <v>1</v>
      </c>
      <c r="Y842">
        <f t="shared" si="105"/>
        <v>0</v>
      </c>
      <c r="Z842">
        <f t="shared" si="106"/>
        <v>6336.44</v>
      </c>
      <c r="AA842">
        <f t="shared" si="107"/>
        <v>1655.7599999999993</v>
      </c>
      <c r="AB842" s="6">
        <f t="shared" si="108"/>
        <v>0.26130761121386764</v>
      </c>
      <c r="AC842" t="str">
        <f t="shared" si="109"/>
        <v>September</v>
      </c>
      <c r="AD842">
        <f t="shared" si="110"/>
        <v>2025</v>
      </c>
      <c r="AE842" t="str">
        <f t="shared" si="111"/>
        <v>Clean</v>
      </c>
    </row>
    <row r="843" spans="1:31">
      <c r="A843" t="s">
        <v>2595</v>
      </c>
      <c r="B843" s="3">
        <v>45694</v>
      </c>
      <c r="C843" s="3">
        <v>45700</v>
      </c>
      <c r="D843" t="s">
        <v>2596</v>
      </c>
      <c r="E843" t="s">
        <v>62</v>
      </c>
      <c r="F843" t="s">
        <v>37</v>
      </c>
      <c r="G843" t="s">
        <v>38</v>
      </c>
      <c r="H843" t="s">
        <v>145</v>
      </c>
      <c r="I843" t="s">
        <v>146</v>
      </c>
      <c r="J843" t="s">
        <v>28</v>
      </c>
      <c r="K843" t="s">
        <v>48</v>
      </c>
      <c r="L843" t="s">
        <v>2597</v>
      </c>
      <c r="M843" t="s">
        <v>59</v>
      </c>
      <c r="N843">
        <v>9</v>
      </c>
      <c r="O843">
        <v>3237.16</v>
      </c>
      <c r="P843">
        <v>0.25</v>
      </c>
      <c r="Q843">
        <v>21850.83</v>
      </c>
      <c r="R843">
        <v>16600.13</v>
      </c>
      <c r="S843">
        <v>5250.7</v>
      </c>
      <c r="T843" t="s">
        <v>32</v>
      </c>
      <c r="U843" t="s">
        <v>33</v>
      </c>
      <c r="V843">
        <f>IF(OR(B843="Invalid Date",C843="Invalid Date"),"Invalid Date",C843-B843)</f>
        <v>6</v>
      </c>
      <c r="W843" s="4" t="str">
        <f>IF(OR(B843="Invalid Date",C843="Invalid Date"),"Invalid Date",IF(C843&lt;B843,"Invalid Shipping","OK"))</f>
        <v>OK</v>
      </c>
      <c r="X843">
        <f t="shared" si="104"/>
        <v>1</v>
      </c>
      <c r="Y843">
        <f t="shared" si="105"/>
        <v>0.25</v>
      </c>
      <c r="Z843">
        <f t="shared" si="106"/>
        <v>21850.829999999998</v>
      </c>
      <c r="AA843">
        <f t="shared" si="107"/>
        <v>5250.6999999999971</v>
      </c>
      <c r="AB843" s="6">
        <f t="shared" si="108"/>
        <v>0.2402975081495759</v>
      </c>
      <c r="AC843" t="str">
        <f t="shared" si="109"/>
        <v>February</v>
      </c>
      <c r="AD843">
        <f t="shared" si="110"/>
        <v>2025</v>
      </c>
      <c r="AE843" t="str">
        <f t="shared" si="111"/>
        <v>Clean</v>
      </c>
    </row>
    <row r="844" spans="1:31">
      <c r="A844" t="s">
        <v>2598</v>
      </c>
      <c r="B844" s="3">
        <v>45382</v>
      </c>
      <c r="C844" s="3" t="s">
        <v>2763</v>
      </c>
      <c r="D844" t="s">
        <v>2599</v>
      </c>
      <c r="E844" t="s">
        <v>264</v>
      </c>
      <c r="F844" t="s">
        <v>24</v>
      </c>
      <c r="G844" t="s">
        <v>25</v>
      </c>
      <c r="H844" t="s">
        <v>236</v>
      </c>
      <c r="I844" t="s">
        <v>237</v>
      </c>
      <c r="J844" t="s">
        <v>74</v>
      </c>
      <c r="K844" t="s">
        <v>274</v>
      </c>
      <c r="L844" t="s">
        <v>2600</v>
      </c>
      <c r="M844" t="s">
        <v>50</v>
      </c>
      <c r="N844">
        <v>4</v>
      </c>
      <c r="O844">
        <v>2192.08</v>
      </c>
      <c r="P844">
        <v>0.15</v>
      </c>
      <c r="Q844">
        <v>7453.07</v>
      </c>
      <c r="R844">
        <v>5133.78</v>
      </c>
      <c r="S844">
        <v>2319.29</v>
      </c>
      <c r="T844" t="s">
        <v>32</v>
      </c>
      <c r="U844" t="s">
        <v>103</v>
      </c>
      <c r="V844" t="str">
        <f>IF(OR(B844="Invalid Date",C844="Invalid Date"),"Invalid Date",C844-B844)</f>
        <v>Invalid Date</v>
      </c>
      <c r="W844" s="4" t="str">
        <f>IF(OR(B844="Invalid Date",C844="Invalid Date"),"Invalid Date",IF(C844&lt;B844,"Invalid Shipping","OK"))</f>
        <v>Invalid Date</v>
      </c>
      <c r="X844">
        <f t="shared" si="104"/>
        <v>1</v>
      </c>
      <c r="Y844">
        <f t="shared" si="105"/>
        <v>0.15</v>
      </c>
      <c r="Z844">
        <f t="shared" si="106"/>
        <v>7453.0719999999992</v>
      </c>
      <c r="AA844">
        <f t="shared" si="107"/>
        <v>2319.2919999999995</v>
      </c>
      <c r="AB844" s="6">
        <f t="shared" si="108"/>
        <v>0.31118604516365866</v>
      </c>
      <c r="AC844" t="str">
        <f t="shared" si="109"/>
        <v>March</v>
      </c>
      <c r="AD844">
        <f t="shared" si="110"/>
        <v>2024</v>
      </c>
      <c r="AE844" t="str">
        <f t="shared" si="111"/>
        <v>Invalid</v>
      </c>
    </row>
    <row r="845" spans="1:31">
      <c r="A845" t="s">
        <v>2601</v>
      </c>
      <c r="B845" s="3">
        <v>45856</v>
      </c>
      <c r="C845" s="3">
        <v>45863</v>
      </c>
      <c r="D845" t="s">
        <v>2602</v>
      </c>
      <c r="E845" t="s">
        <v>114</v>
      </c>
      <c r="F845" t="s">
        <v>37</v>
      </c>
      <c r="G845" t="s">
        <v>25</v>
      </c>
      <c r="H845" t="s">
        <v>136</v>
      </c>
      <c r="I845" t="s">
        <v>137</v>
      </c>
      <c r="J845" t="s">
        <v>74</v>
      </c>
      <c r="K845" t="s">
        <v>171</v>
      </c>
      <c r="L845" t="s">
        <v>2603</v>
      </c>
      <c r="M845" t="s">
        <v>50</v>
      </c>
      <c r="N845">
        <v>9</v>
      </c>
      <c r="O845">
        <v>3989.52</v>
      </c>
      <c r="P845">
        <v>-0.02</v>
      </c>
      <c r="Q845">
        <v>35905.68</v>
      </c>
      <c r="R845">
        <v>23916.1</v>
      </c>
      <c r="S845">
        <v>11989.58</v>
      </c>
      <c r="T845" t="s">
        <v>32</v>
      </c>
      <c r="U845" t="s">
        <v>33</v>
      </c>
      <c r="V845">
        <f>IF(OR(B845="Invalid Date",C845="Invalid Date"),"Invalid Date",C845-B845)</f>
        <v>7</v>
      </c>
      <c r="W845" s="4" t="str">
        <f>IF(OR(B845="Invalid Date",C845="Invalid Date"),"Invalid Date",IF(C845&lt;B845,"Invalid Shipping","OK"))</f>
        <v>OK</v>
      </c>
      <c r="X845">
        <f t="shared" si="104"/>
        <v>1</v>
      </c>
      <c r="Y845" t="str">
        <f t="shared" si="105"/>
        <v>Invalid</v>
      </c>
      <c r="Z845" t="str">
        <f t="shared" si="106"/>
        <v/>
      </c>
      <c r="AA845" t="str">
        <f t="shared" si="107"/>
        <v/>
      </c>
      <c r="AB845" s="6" t="str">
        <f t="shared" si="108"/>
        <v/>
      </c>
      <c r="AC845" t="str">
        <f t="shared" si="109"/>
        <v>July</v>
      </c>
      <c r="AD845">
        <f t="shared" si="110"/>
        <v>2025</v>
      </c>
      <c r="AE845" t="str">
        <f t="shared" si="111"/>
        <v>Invalid</v>
      </c>
    </row>
    <row r="846" spans="1:31">
      <c r="A846" t="s">
        <v>2604</v>
      </c>
      <c r="B846" s="3">
        <v>45677</v>
      </c>
      <c r="C846" s="3">
        <v>45682</v>
      </c>
      <c r="D846" t="s">
        <v>2605</v>
      </c>
      <c r="E846" t="s">
        <v>89</v>
      </c>
      <c r="F846" t="s">
        <v>95</v>
      </c>
      <c r="G846" t="s">
        <v>63</v>
      </c>
      <c r="H846" t="s">
        <v>190</v>
      </c>
      <c r="I846" t="s">
        <v>191</v>
      </c>
      <c r="J846" t="s">
        <v>28</v>
      </c>
      <c r="K846" t="s">
        <v>48</v>
      </c>
      <c r="L846" t="s">
        <v>2606</v>
      </c>
      <c r="M846" t="s">
        <v>50</v>
      </c>
      <c r="N846">
        <v>1</v>
      </c>
      <c r="O846">
        <v>3515.15</v>
      </c>
      <c r="P846">
        <v>0</v>
      </c>
      <c r="Q846">
        <v>3515.15</v>
      </c>
      <c r="R846">
        <v>2216.34</v>
      </c>
      <c r="S846">
        <v>1298.81</v>
      </c>
      <c r="T846" t="s">
        <v>32</v>
      </c>
      <c r="U846" t="s">
        <v>33</v>
      </c>
      <c r="V846">
        <f>IF(OR(B846="Invalid Date",C846="Invalid Date"),"Invalid Date",C846-B846)</f>
        <v>5</v>
      </c>
      <c r="W846" s="4" t="str">
        <f>IF(OR(B846="Invalid Date",C846="Invalid Date"),"Invalid Date",IF(C846&lt;B846,"Invalid Shipping","OK"))</f>
        <v>OK</v>
      </c>
      <c r="X846">
        <f t="shared" si="104"/>
        <v>1</v>
      </c>
      <c r="Y846">
        <f t="shared" si="105"/>
        <v>0</v>
      </c>
      <c r="Z846">
        <f t="shared" si="106"/>
        <v>3515.15</v>
      </c>
      <c r="AA846">
        <f t="shared" si="107"/>
        <v>1298.81</v>
      </c>
      <c r="AB846" s="6">
        <f t="shared" si="108"/>
        <v>0.36948921098672882</v>
      </c>
      <c r="AC846" t="str">
        <f t="shared" si="109"/>
        <v>January</v>
      </c>
      <c r="AD846">
        <f t="shared" si="110"/>
        <v>2025</v>
      </c>
      <c r="AE846" t="str">
        <f t="shared" si="111"/>
        <v>Clean</v>
      </c>
    </row>
    <row r="847" spans="1:31">
      <c r="A847" t="s">
        <v>2607</v>
      </c>
      <c r="B847" s="3">
        <v>45345</v>
      </c>
      <c r="C847" s="3">
        <v>45349</v>
      </c>
      <c r="D847" t="s">
        <v>593</v>
      </c>
      <c r="E847" t="s">
        <v>23</v>
      </c>
      <c r="F847" t="s">
        <v>24</v>
      </c>
      <c r="G847" t="s">
        <v>38</v>
      </c>
      <c r="H847" t="s">
        <v>39</v>
      </c>
      <c r="I847" t="s">
        <v>40</v>
      </c>
      <c r="J847" t="s">
        <v>41</v>
      </c>
      <c r="K847" t="s">
        <v>42</v>
      </c>
      <c r="L847" t="s">
        <v>2608</v>
      </c>
      <c r="M847" t="s">
        <v>50</v>
      </c>
      <c r="N847">
        <v>9</v>
      </c>
      <c r="O847">
        <v>3616.23</v>
      </c>
      <c r="P847">
        <v>0.25</v>
      </c>
      <c r="Q847">
        <v>24409.55</v>
      </c>
      <c r="R847">
        <v>17157.580000000002</v>
      </c>
      <c r="S847">
        <v>7251.97</v>
      </c>
      <c r="T847" t="s">
        <v>111</v>
      </c>
      <c r="U847" t="s">
        <v>103</v>
      </c>
      <c r="V847">
        <f>IF(OR(B847="Invalid Date",C847="Invalid Date"),"Invalid Date",C847-B847)</f>
        <v>4</v>
      </c>
      <c r="W847" s="4" t="str">
        <f>IF(OR(B847="Invalid Date",C847="Invalid Date"),"Invalid Date",IF(C847&lt;B847,"Invalid Shipping","OK"))</f>
        <v>OK</v>
      </c>
      <c r="X847">
        <f t="shared" si="104"/>
        <v>1</v>
      </c>
      <c r="Y847">
        <f t="shared" si="105"/>
        <v>0.25</v>
      </c>
      <c r="Z847">
        <f t="shared" si="106"/>
        <v>24409.552499999998</v>
      </c>
      <c r="AA847">
        <f t="shared" si="107"/>
        <v>7251.9724999999962</v>
      </c>
      <c r="AB847" s="6">
        <f t="shared" si="108"/>
        <v>0.29709567596538267</v>
      </c>
      <c r="AC847" t="str">
        <f t="shared" si="109"/>
        <v>February</v>
      </c>
      <c r="AD847">
        <f t="shared" si="110"/>
        <v>2024</v>
      </c>
      <c r="AE847" t="str">
        <f t="shared" si="111"/>
        <v>Clean</v>
      </c>
    </row>
    <row r="848" spans="1:31">
      <c r="A848" t="s">
        <v>2609</v>
      </c>
      <c r="B848" s="3">
        <v>45396</v>
      </c>
      <c r="C848" s="3">
        <v>45404</v>
      </c>
      <c r="D848" t="s">
        <v>2610</v>
      </c>
      <c r="E848" t="s">
        <v>114</v>
      </c>
      <c r="F848" t="s">
        <v>37</v>
      </c>
      <c r="G848" t="s">
        <v>63</v>
      </c>
      <c r="H848" t="s">
        <v>180</v>
      </c>
      <c r="I848" t="s">
        <v>181</v>
      </c>
      <c r="J848" t="s">
        <v>41</v>
      </c>
      <c r="K848" t="s">
        <v>158</v>
      </c>
      <c r="L848" t="s">
        <v>2611</v>
      </c>
      <c r="M848" t="s">
        <v>59</v>
      </c>
      <c r="N848">
        <v>2</v>
      </c>
      <c r="O848">
        <v>3977.52</v>
      </c>
      <c r="P848">
        <v>0</v>
      </c>
      <c r="Q848">
        <v>7955.04</v>
      </c>
      <c r="R848">
        <v>5580.68</v>
      </c>
      <c r="S848">
        <v>2374.36</v>
      </c>
      <c r="T848" t="s">
        <v>111</v>
      </c>
      <c r="U848" t="s">
        <v>103</v>
      </c>
      <c r="V848">
        <f>IF(OR(B848="Invalid Date",C848="Invalid Date"),"Invalid Date",C848-B848)</f>
        <v>8</v>
      </c>
      <c r="W848" s="4" t="str">
        <f>IF(OR(B848="Invalid Date",C848="Invalid Date"),"Invalid Date",IF(C848&lt;B848,"Invalid Shipping","OK"))</f>
        <v>OK</v>
      </c>
      <c r="X848">
        <f t="shared" si="104"/>
        <v>1</v>
      </c>
      <c r="Y848">
        <f t="shared" si="105"/>
        <v>0</v>
      </c>
      <c r="Z848">
        <f t="shared" si="106"/>
        <v>7955.04</v>
      </c>
      <c r="AA848">
        <f t="shared" si="107"/>
        <v>2374.3599999999997</v>
      </c>
      <c r="AB848" s="6">
        <f t="shared" si="108"/>
        <v>0.29847241497214339</v>
      </c>
      <c r="AC848" t="str">
        <f t="shared" si="109"/>
        <v>April</v>
      </c>
      <c r="AD848">
        <f t="shared" si="110"/>
        <v>2024</v>
      </c>
      <c r="AE848" t="str">
        <f t="shared" si="111"/>
        <v>Clean</v>
      </c>
    </row>
    <row r="849" spans="1:31">
      <c r="A849" t="s">
        <v>2612</v>
      </c>
      <c r="B849" s="3">
        <v>45797</v>
      </c>
      <c r="C849" s="3" t="s">
        <v>2763</v>
      </c>
      <c r="D849" t="s">
        <v>2613</v>
      </c>
      <c r="E849" t="s">
        <v>162</v>
      </c>
      <c r="F849" t="s">
        <v>95</v>
      </c>
      <c r="G849" t="s">
        <v>38</v>
      </c>
      <c r="H849" t="s">
        <v>39</v>
      </c>
      <c r="I849" t="s">
        <v>40</v>
      </c>
      <c r="J849" t="s">
        <v>41</v>
      </c>
      <c r="K849" t="s">
        <v>42</v>
      </c>
      <c r="L849" t="s">
        <v>2614</v>
      </c>
      <c r="M849" t="s">
        <v>31</v>
      </c>
      <c r="N849">
        <v>2</v>
      </c>
      <c r="O849">
        <v>210.08</v>
      </c>
      <c r="P849">
        <v>0.2</v>
      </c>
      <c r="Q849">
        <v>336.13</v>
      </c>
      <c r="R849">
        <v>242.19</v>
      </c>
      <c r="S849">
        <v>93.94</v>
      </c>
      <c r="T849" t="s">
        <v>32</v>
      </c>
      <c r="U849" t="s">
        <v>33</v>
      </c>
      <c r="V849" t="str">
        <f>IF(OR(B849="Invalid Date",C849="Invalid Date"),"Invalid Date",C849-B849)</f>
        <v>Invalid Date</v>
      </c>
      <c r="W849" s="4" t="str">
        <f>IF(OR(B849="Invalid Date",C849="Invalid Date"),"Invalid Date",IF(C849&lt;B849,"Invalid Shipping","OK"))</f>
        <v>Invalid Date</v>
      </c>
      <c r="X849">
        <f t="shared" si="104"/>
        <v>1</v>
      </c>
      <c r="Y849">
        <f t="shared" si="105"/>
        <v>0.2</v>
      </c>
      <c r="Z849">
        <f t="shared" si="106"/>
        <v>336.12800000000004</v>
      </c>
      <c r="AA849">
        <f t="shared" si="107"/>
        <v>93.938000000000045</v>
      </c>
      <c r="AB849" s="6">
        <f t="shared" si="108"/>
        <v>0.27947091584158423</v>
      </c>
      <c r="AC849" t="str">
        <f t="shared" si="109"/>
        <v>May</v>
      </c>
      <c r="AD849">
        <f t="shared" si="110"/>
        <v>2025</v>
      </c>
      <c r="AE849" t="str">
        <f t="shared" si="111"/>
        <v>Invalid</v>
      </c>
    </row>
    <row r="850" spans="1:31">
      <c r="A850" t="s">
        <v>2615</v>
      </c>
      <c r="B850" s="3">
        <v>45804</v>
      </c>
      <c r="C850" s="3">
        <v>45806</v>
      </c>
      <c r="D850" t="s">
        <v>2616</v>
      </c>
      <c r="E850" t="s">
        <v>118</v>
      </c>
      <c r="F850" t="s">
        <v>95</v>
      </c>
      <c r="G850" t="s">
        <v>54</v>
      </c>
      <c r="H850" t="s">
        <v>247</v>
      </c>
      <c r="I850" t="s">
        <v>248</v>
      </c>
      <c r="J850" t="s">
        <v>41</v>
      </c>
      <c r="K850" t="s">
        <v>57</v>
      </c>
      <c r="L850" t="s">
        <v>2617</v>
      </c>
      <c r="M850" t="s">
        <v>31</v>
      </c>
      <c r="N850">
        <v>1</v>
      </c>
      <c r="O850">
        <v>1744.35</v>
      </c>
      <c r="P850">
        <v>0.25</v>
      </c>
      <c r="Q850">
        <v>1308.26</v>
      </c>
      <c r="R850">
        <v>1083.56</v>
      </c>
      <c r="S850">
        <v>224.7</v>
      </c>
      <c r="T850" t="s">
        <v>32</v>
      </c>
      <c r="U850" t="s">
        <v>33</v>
      </c>
      <c r="V850">
        <f>IF(OR(B850="Invalid Date",C850="Invalid Date"),"Invalid Date",C850-B850)</f>
        <v>2</v>
      </c>
      <c r="W850" s="4" t="str">
        <f>IF(OR(B850="Invalid Date",C850="Invalid Date"),"Invalid Date",IF(C850&lt;B850,"Invalid Shipping","OK"))</f>
        <v>OK</v>
      </c>
      <c r="X850">
        <f t="shared" si="104"/>
        <v>1</v>
      </c>
      <c r="Y850">
        <f t="shared" si="105"/>
        <v>0.25</v>
      </c>
      <c r="Z850">
        <f t="shared" si="106"/>
        <v>1308.2624999999998</v>
      </c>
      <c r="AA850">
        <f t="shared" si="107"/>
        <v>224.70249999999987</v>
      </c>
      <c r="AB850" s="6">
        <f t="shared" si="108"/>
        <v>0.17175643267310645</v>
      </c>
      <c r="AC850" t="str">
        <f t="shared" si="109"/>
        <v>May</v>
      </c>
      <c r="AD850">
        <f t="shared" si="110"/>
        <v>2025</v>
      </c>
      <c r="AE850" t="str">
        <f t="shared" si="111"/>
        <v>Clean</v>
      </c>
    </row>
    <row r="851" spans="1:31">
      <c r="A851" t="s">
        <v>2618</v>
      </c>
      <c r="B851" s="3">
        <v>45357</v>
      </c>
      <c r="C851" s="3">
        <v>45363</v>
      </c>
      <c r="D851" t="s">
        <v>2619</v>
      </c>
      <c r="E851" t="s">
        <v>47</v>
      </c>
      <c r="F851" t="s">
        <v>95</v>
      </c>
      <c r="G851" t="s">
        <v>63</v>
      </c>
      <c r="H851" t="s">
        <v>180</v>
      </c>
      <c r="I851" t="s">
        <v>181</v>
      </c>
      <c r="J851" t="s">
        <v>41</v>
      </c>
      <c r="K851" t="s">
        <v>158</v>
      </c>
      <c r="L851" t="s">
        <v>2620</v>
      </c>
      <c r="M851" t="s">
        <v>59</v>
      </c>
      <c r="N851">
        <v>3</v>
      </c>
      <c r="O851">
        <v>679.63</v>
      </c>
      <c r="P851">
        <v>0.2</v>
      </c>
      <c r="Q851">
        <v>1631.11</v>
      </c>
      <c r="R851">
        <v>898.73</v>
      </c>
      <c r="S851">
        <v>396.58</v>
      </c>
      <c r="T851" t="s">
        <v>32</v>
      </c>
      <c r="U851" t="s">
        <v>33</v>
      </c>
      <c r="V851">
        <f>IF(OR(B851="Invalid Date",C851="Invalid Date"),"Invalid Date",C851-B851)</f>
        <v>6</v>
      </c>
      <c r="W851" s="4" t="str">
        <f>IF(OR(B851="Invalid Date",C851="Invalid Date"),"Invalid Date",IF(C851&lt;B851,"Invalid Shipping","OK"))</f>
        <v>OK</v>
      </c>
      <c r="X851">
        <f t="shared" si="104"/>
        <v>1</v>
      </c>
      <c r="Y851">
        <f t="shared" si="105"/>
        <v>0.2</v>
      </c>
      <c r="Z851">
        <f t="shared" si="106"/>
        <v>1631.1120000000001</v>
      </c>
      <c r="AA851">
        <f t="shared" si="107"/>
        <v>732.38200000000006</v>
      </c>
      <c r="AB851" s="6">
        <f t="shared" si="108"/>
        <v>0.44900779345624336</v>
      </c>
      <c r="AC851" t="str">
        <f t="shared" si="109"/>
        <v>March</v>
      </c>
      <c r="AD851">
        <f t="shared" si="110"/>
        <v>2024</v>
      </c>
      <c r="AE851" t="str">
        <f t="shared" si="111"/>
        <v>Clean</v>
      </c>
    </row>
    <row r="852" spans="1:31">
      <c r="A852" t="s">
        <v>2621</v>
      </c>
      <c r="B852" s="3">
        <v>45473</v>
      </c>
      <c r="C852" s="3">
        <v>45476</v>
      </c>
      <c r="D852" t="s">
        <v>2622</v>
      </c>
      <c r="E852" t="s">
        <v>114</v>
      </c>
      <c r="F852" t="s">
        <v>95</v>
      </c>
      <c r="G852" t="s">
        <v>38</v>
      </c>
      <c r="H852" t="s">
        <v>99</v>
      </c>
      <c r="I852" t="s">
        <v>100</v>
      </c>
      <c r="J852" t="s">
        <v>28</v>
      </c>
      <c r="K852" t="s">
        <v>29</v>
      </c>
      <c r="L852" t="s">
        <v>2623</v>
      </c>
      <c r="M852" t="s">
        <v>50</v>
      </c>
      <c r="N852">
        <v>6</v>
      </c>
      <c r="O852">
        <v>1211.01</v>
      </c>
      <c r="P852">
        <v>0</v>
      </c>
      <c r="Q852">
        <v>7266.06</v>
      </c>
      <c r="R852">
        <v>6216.89</v>
      </c>
      <c r="S852">
        <v>1049.17</v>
      </c>
      <c r="T852" t="s">
        <v>32</v>
      </c>
      <c r="U852" t="s">
        <v>33</v>
      </c>
      <c r="V852">
        <f>IF(OR(B852="Invalid Date",C852="Invalid Date"),"Invalid Date",C852-B852)</f>
        <v>3</v>
      </c>
      <c r="W852" s="4" t="str">
        <f>IF(OR(B852="Invalid Date",C852="Invalid Date"),"Invalid Date",IF(C852&lt;B852,"Invalid Shipping","OK"))</f>
        <v>OK</v>
      </c>
      <c r="X852">
        <f t="shared" si="104"/>
        <v>1</v>
      </c>
      <c r="Y852">
        <f t="shared" si="105"/>
        <v>0</v>
      </c>
      <c r="Z852">
        <f t="shared" si="106"/>
        <v>7266.0599999999995</v>
      </c>
      <c r="AA852">
        <f t="shared" si="107"/>
        <v>1049.1699999999992</v>
      </c>
      <c r="AB852" s="6">
        <f t="shared" si="108"/>
        <v>0.14439324750965438</v>
      </c>
      <c r="AC852" t="str">
        <f t="shared" si="109"/>
        <v>June</v>
      </c>
      <c r="AD852">
        <f t="shared" si="110"/>
        <v>2024</v>
      </c>
      <c r="AE852" t="str">
        <f t="shared" si="111"/>
        <v>Clean</v>
      </c>
    </row>
    <row r="853" spans="1:31">
      <c r="A853" t="s">
        <v>2624</v>
      </c>
      <c r="B853" s="3">
        <v>45377</v>
      </c>
      <c r="C853" s="3">
        <v>45383</v>
      </c>
      <c r="D853" t="s">
        <v>2625</v>
      </c>
      <c r="E853" t="s">
        <v>23</v>
      </c>
      <c r="F853" t="s">
        <v>37</v>
      </c>
      <c r="G853" t="s">
        <v>63</v>
      </c>
      <c r="H853" t="s">
        <v>180</v>
      </c>
      <c r="I853" t="s">
        <v>181</v>
      </c>
      <c r="J853" t="s">
        <v>74</v>
      </c>
      <c r="K853" t="s">
        <v>75</v>
      </c>
      <c r="L853" t="s">
        <v>2626</v>
      </c>
      <c r="M853" t="s">
        <v>50</v>
      </c>
      <c r="N853">
        <v>2</v>
      </c>
      <c r="O853">
        <v>1161.3</v>
      </c>
      <c r="P853">
        <v>0.2</v>
      </c>
      <c r="Q853">
        <v>1858.08</v>
      </c>
      <c r="R853">
        <v>1590.75</v>
      </c>
      <c r="S853">
        <v>267.33</v>
      </c>
      <c r="T853" t="s">
        <v>32</v>
      </c>
      <c r="U853" t="s">
        <v>33</v>
      </c>
      <c r="V853">
        <f>IF(OR(B853="Invalid Date",C853="Invalid Date"),"Invalid Date",C853-B853)</f>
        <v>6</v>
      </c>
      <c r="W853" s="4" t="str">
        <f>IF(OR(B853="Invalid Date",C853="Invalid Date"),"Invalid Date",IF(C853&lt;B853,"Invalid Shipping","OK"))</f>
        <v>OK</v>
      </c>
      <c r="X853">
        <f t="shared" si="104"/>
        <v>1</v>
      </c>
      <c r="Y853">
        <f t="shared" si="105"/>
        <v>0.2</v>
      </c>
      <c r="Z853">
        <f t="shared" si="106"/>
        <v>1858.08</v>
      </c>
      <c r="AA853">
        <f t="shared" si="107"/>
        <v>267.32999999999993</v>
      </c>
      <c r="AB853" s="6">
        <f t="shared" si="108"/>
        <v>0.14387432188065097</v>
      </c>
      <c r="AC853" t="str">
        <f t="shared" si="109"/>
        <v>March</v>
      </c>
      <c r="AD853">
        <f t="shared" si="110"/>
        <v>2024</v>
      </c>
      <c r="AE853" t="str">
        <f t="shared" si="111"/>
        <v>Clean</v>
      </c>
    </row>
    <row r="854" spans="1:31">
      <c r="A854" t="s">
        <v>2627</v>
      </c>
      <c r="B854" s="3">
        <v>45383</v>
      </c>
      <c r="C854" s="3">
        <v>45390</v>
      </c>
      <c r="D854" t="s">
        <v>2628</v>
      </c>
      <c r="E854" t="s">
        <v>62</v>
      </c>
      <c r="F854" t="s">
        <v>24</v>
      </c>
      <c r="G854" t="s">
        <v>38</v>
      </c>
      <c r="H854" t="s">
        <v>166</v>
      </c>
      <c r="I854" t="s">
        <v>167</v>
      </c>
      <c r="J854" t="s">
        <v>41</v>
      </c>
      <c r="K854" t="s">
        <v>42</v>
      </c>
      <c r="L854" t="s">
        <v>2629</v>
      </c>
      <c r="M854" t="s">
        <v>31</v>
      </c>
      <c r="N854">
        <v>7</v>
      </c>
      <c r="O854">
        <v>4205.3500000000004</v>
      </c>
      <c r="P854">
        <v>0.15</v>
      </c>
      <c r="Q854">
        <v>25021.83</v>
      </c>
      <c r="R854">
        <v>15544.44</v>
      </c>
      <c r="S854">
        <v>9477.39</v>
      </c>
      <c r="T854" t="s">
        <v>111</v>
      </c>
      <c r="U854" t="s">
        <v>68</v>
      </c>
      <c r="V854">
        <f>IF(OR(B854="Invalid Date",C854="Invalid Date"),"Invalid Date",C854-B854)</f>
        <v>7</v>
      </c>
      <c r="W854" s="4" t="str">
        <f>IF(OR(B854="Invalid Date",C854="Invalid Date"),"Invalid Date",IF(C854&lt;B854,"Invalid Shipping","OK"))</f>
        <v>OK</v>
      </c>
      <c r="X854">
        <f t="shared" si="104"/>
        <v>1</v>
      </c>
      <c r="Y854">
        <f t="shared" si="105"/>
        <v>0.15</v>
      </c>
      <c r="Z854">
        <f t="shared" si="106"/>
        <v>25021.832500000004</v>
      </c>
      <c r="AA854">
        <f t="shared" si="107"/>
        <v>9477.3925000000036</v>
      </c>
      <c r="AB854" s="6">
        <f t="shared" si="108"/>
        <v>0.37876492459135447</v>
      </c>
      <c r="AC854" t="str">
        <f t="shared" si="109"/>
        <v>April</v>
      </c>
      <c r="AD854">
        <f t="shared" si="110"/>
        <v>2024</v>
      </c>
      <c r="AE854" t="str">
        <f t="shared" si="111"/>
        <v>Clean</v>
      </c>
    </row>
    <row r="855" spans="1:31">
      <c r="A855" t="s">
        <v>2630</v>
      </c>
      <c r="B855" s="3">
        <v>45793</v>
      </c>
      <c r="C855" s="3" t="s">
        <v>2763</v>
      </c>
      <c r="D855" t="s">
        <v>2631</v>
      </c>
      <c r="E855" t="s">
        <v>53</v>
      </c>
      <c r="F855" t="s">
        <v>90</v>
      </c>
      <c r="G855" t="s">
        <v>54</v>
      </c>
      <c r="H855" t="s">
        <v>247</v>
      </c>
      <c r="I855" t="s">
        <v>248</v>
      </c>
      <c r="J855" t="s">
        <v>74</v>
      </c>
      <c r="K855" t="s">
        <v>75</v>
      </c>
      <c r="L855" t="s">
        <v>2632</v>
      </c>
      <c r="M855" t="s">
        <v>44</v>
      </c>
      <c r="N855">
        <v>8</v>
      </c>
      <c r="O855">
        <v>579.79999999999995</v>
      </c>
      <c r="P855">
        <v>0.2</v>
      </c>
      <c r="Q855">
        <v>3710.72</v>
      </c>
      <c r="R855">
        <v>3115.29</v>
      </c>
      <c r="S855">
        <v>595.42999999999995</v>
      </c>
      <c r="T855" t="s">
        <v>32</v>
      </c>
      <c r="U855" t="s">
        <v>33</v>
      </c>
      <c r="V855" t="str">
        <f>IF(OR(B855="Invalid Date",C855="Invalid Date"),"Invalid Date",C855-B855)</f>
        <v>Invalid Date</v>
      </c>
      <c r="W855" s="4" t="str">
        <f>IF(OR(B855="Invalid Date",C855="Invalid Date"),"Invalid Date",IF(C855&lt;B855,"Invalid Shipping","OK"))</f>
        <v>Invalid Date</v>
      </c>
      <c r="X855">
        <f t="shared" si="104"/>
        <v>1</v>
      </c>
      <c r="Y855">
        <f t="shared" si="105"/>
        <v>0.2</v>
      </c>
      <c r="Z855">
        <f t="shared" si="106"/>
        <v>3710.72</v>
      </c>
      <c r="AA855">
        <f t="shared" si="107"/>
        <v>595.42999999999984</v>
      </c>
      <c r="AB855" s="6">
        <f t="shared" si="108"/>
        <v>0.16046212055881334</v>
      </c>
      <c r="AC855" t="str">
        <f t="shared" si="109"/>
        <v>May</v>
      </c>
      <c r="AD855">
        <f t="shared" si="110"/>
        <v>2025</v>
      </c>
      <c r="AE855" t="str">
        <f t="shared" si="111"/>
        <v>Invalid</v>
      </c>
    </row>
    <row r="856" spans="1:31">
      <c r="A856" t="s">
        <v>2633</v>
      </c>
      <c r="B856" s="3" t="s">
        <v>2763</v>
      </c>
      <c r="C856" s="3">
        <v>45692</v>
      </c>
      <c r="D856" t="s">
        <v>2634</v>
      </c>
      <c r="E856" t="s">
        <v>114</v>
      </c>
      <c r="F856" t="s">
        <v>24</v>
      </c>
      <c r="G856" t="s">
        <v>54</v>
      </c>
      <c r="H856" t="s">
        <v>175</v>
      </c>
      <c r="I856" t="s">
        <v>176</v>
      </c>
      <c r="J856" t="s">
        <v>41</v>
      </c>
      <c r="K856" t="s">
        <v>158</v>
      </c>
      <c r="L856" t="s">
        <v>2635</v>
      </c>
      <c r="M856" t="s">
        <v>31</v>
      </c>
      <c r="N856">
        <v>4</v>
      </c>
      <c r="O856">
        <v>2233.64</v>
      </c>
      <c r="P856">
        <v>0.05</v>
      </c>
      <c r="Q856">
        <v>8487.83</v>
      </c>
      <c r="R856">
        <v>5245.72</v>
      </c>
      <c r="S856">
        <v>3242.11</v>
      </c>
      <c r="T856" t="s">
        <v>32</v>
      </c>
      <c r="U856" t="s">
        <v>33</v>
      </c>
      <c r="V856" t="str">
        <f>IF(OR(B856="Invalid Date",C856="Invalid Date"),"Invalid Date",C856-B856)</f>
        <v>Invalid Date</v>
      </c>
      <c r="W856" s="4" t="str">
        <f>IF(OR(B856="Invalid Date",C856="Invalid Date"),"Invalid Date",IF(C856&lt;B856,"Invalid Shipping","OK"))</f>
        <v>Invalid Date</v>
      </c>
      <c r="X856">
        <f t="shared" si="104"/>
        <v>1</v>
      </c>
      <c r="Y856">
        <f t="shared" si="105"/>
        <v>0.05</v>
      </c>
      <c r="Z856">
        <f t="shared" si="106"/>
        <v>8487.8319999999985</v>
      </c>
      <c r="AA856">
        <f t="shared" si="107"/>
        <v>3242.1119999999983</v>
      </c>
      <c r="AB856" s="6">
        <f t="shared" si="108"/>
        <v>0.38197174496384928</v>
      </c>
      <c r="AC856" t="str">
        <f t="shared" si="109"/>
        <v/>
      </c>
      <c r="AD856" t="str">
        <f t="shared" si="110"/>
        <v/>
      </c>
      <c r="AE856" t="str">
        <f t="shared" si="111"/>
        <v>Invalid</v>
      </c>
    </row>
    <row r="857" spans="1:31">
      <c r="A857" t="s">
        <v>2636</v>
      </c>
      <c r="B857" s="3">
        <v>45498</v>
      </c>
      <c r="C857" s="3">
        <v>45506</v>
      </c>
      <c r="D857" t="s">
        <v>1122</v>
      </c>
      <c r="E857" t="s">
        <v>118</v>
      </c>
      <c r="F857" t="s">
        <v>24</v>
      </c>
      <c r="G857" t="s">
        <v>25</v>
      </c>
      <c r="H857" t="s">
        <v>26</v>
      </c>
      <c r="I857" t="s">
        <v>27</v>
      </c>
      <c r="J857" t="s">
        <v>28</v>
      </c>
      <c r="K857" t="s">
        <v>91</v>
      </c>
      <c r="L857" t="s">
        <v>2637</v>
      </c>
      <c r="M857" t="s">
        <v>31</v>
      </c>
      <c r="N857">
        <v>2</v>
      </c>
      <c r="O857">
        <v>2073.5300000000002</v>
      </c>
      <c r="P857">
        <v>0.25</v>
      </c>
      <c r="Q857">
        <v>3110.3</v>
      </c>
      <c r="R857">
        <v>2101.0300000000002</v>
      </c>
      <c r="S857">
        <v>1009.27</v>
      </c>
      <c r="T857" t="s">
        <v>32</v>
      </c>
      <c r="U857" t="s">
        <v>33</v>
      </c>
      <c r="V857">
        <f>IF(OR(B857="Invalid Date",C857="Invalid Date"),"Invalid Date",C857-B857)</f>
        <v>8</v>
      </c>
      <c r="W857" s="4" t="str">
        <f>IF(OR(B857="Invalid Date",C857="Invalid Date"),"Invalid Date",IF(C857&lt;B857,"Invalid Shipping","OK"))</f>
        <v>OK</v>
      </c>
      <c r="X857">
        <f t="shared" si="104"/>
        <v>1</v>
      </c>
      <c r="Y857">
        <f t="shared" si="105"/>
        <v>0.25</v>
      </c>
      <c r="Z857">
        <f t="shared" si="106"/>
        <v>3110.2950000000001</v>
      </c>
      <c r="AA857">
        <f t="shared" si="107"/>
        <v>1009.2649999999999</v>
      </c>
      <c r="AB857" s="6">
        <f t="shared" si="108"/>
        <v>0.32449172827657824</v>
      </c>
      <c r="AC857" t="str">
        <f t="shared" si="109"/>
        <v>July</v>
      </c>
      <c r="AD857">
        <f t="shared" si="110"/>
        <v>2024</v>
      </c>
      <c r="AE857" t="str">
        <f t="shared" si="111"/>
        <v>Clean</v>
      </c>
    </row>
    <row r="858" spans="1:31">
      <c r="A858" t="s">
        <v>2638</v>
      </c>
      <c r="B858" s="3">
        <v>45455</v>
      </c>
      <c r="C858" s="3">
        <v>45462</v>
      </c>
      <c r="D858" t="s">
        <v>1300</v>
      </c>
      <c r="E858" t="s">
        <v>141</v>
      </c>
      <c r="F858" t="s">
        <v>95</v>
      </c>
      <c r="G858" t="s">
        <v>54</v>
      </c>
      <c r="H858" t="s">
        <v>247</v>
      </c>
      <c r="I858" t="s">
        <v>248</v>
      </c>
      <c r="J858" t="s">
        <v>28</v>
      </c>
      <c r="K858" t="s">
        <v>124</v>
      </c>
      <c r="L858" t="s">
        <v>2639</v>
      </c>
      <c r="M858" t="s">
        <v>59</v>
      </c>
      <c r="N858">
        <v>4</v>
      </c>
      <c r="O858">
        <v>395.1</v>
      </c>
      <c r="P858">
        <v>-0.16</v>
      </c>
      <c r="Q858">
        <v>1185.3</v>
      </c>
      <c r="R858">
        <v>966.55</v>
      </c>
      <c r="S858">
        <v>218.75</v>
      </c>
      <c r="T858" t="s">
        <v>155</v>
      </c>
      <c r="U858" t="s">
        <v>68</v>
      </c>
      <c r="V858">
        <f>IF(OR(B858="Invalid Date",C858="Invalid Date"),"Invalid Date",C858-B858)</f>
        <v>7</v>
      </c>
      <c r="W858" s="4" t="str">
        <f>IF(OR(B858="Invalid Date",C858="Invalid Date"),"Invalid Date",IF(C858&lt;B858,"Invalid Shipping","OK"))</f>
        <v>OK</v>
      </c>
      <c r="X858">
        <f t="shared" si="104"/>
        <v>1</v>
      </c>
      <c r="Y858" t="str">
        <f t="shared" si="105"/>
        <v>Invalid</v>
      </c>
      <c r="Z858" t="str">
        <f t="shared" si="106"/>
        <v/>
      </c>
      <c r="AA858" t="str">
        <f t="shared" si="107"/>
        <v/>
      </c>
      <c r="AB858" s="6" t="str">
        <f t="shared" si="108"/>
        <v/>
      </c>
      <c r="AC858" t="str">
        <f t="shared" si="109"/>
        <v>June</v>
      </c>
      <c r="AD858">
        <f t="shared" si="110"/>
        <v>2024</v>
      </c>
      <c r="AE858" t="str">
        <f t="shared" si="111"/>
        <v>Invalid</v>
      </c>
    </row>
    <row r="859" spans="1:31">
      <c r="A859" t="s">
        <v>2640</v>
      </c>
      <c r="B859" s="3">
        <v>45447</v>
      </c>
      <c r="C859" s="3">
        <v>45447</v>
      </c>
      <c r="D859" t="s">
        <v>2147</v>
      </c>
      <c r="E859" t="s">
        <v>132</v>
      </c>
      <c r="F859" t="s">
        <v>95</v>
      </c>
      <c r="G859" t="s">
        <v>54</v>
      </c>
      <c r="H859" t="s">
        <v>185</v>
      </c>
      <c r="I859" t="s">
        <v>186</v>
      </c>
      <c r="J859" t="s">
        <v>28</v>
      </c>
      <c r="K859" t="s">
        <v>124</v>
      </c>
      <c r="L859" t="s">
        <v>2641</v>
      </c>
      <c r="M859" t="s">
        <v>50</v>
      </c>
      <c r="N859">
        <v>6</v>
      </c>
      <c r="O859">
        <v>2708.97</v>
      </c>
      <c r="P859">
        <v>0.25</v>
      </c>
      <c r="Q859">
        <v>12190.36</v>
      </c>
      <c r="R859">
        <v>10176.99</v>
      </c>
      <c r="S859">
        <v>2013.37</v>
      </c>
      <c r="T859" t="s">
        <v>32</v>
      </c>
      <c r="U859" t="s">
        <v>33</v>
      </c>
      <c r="V859">
        <f>IF(OR(B859="Invalid Date",C859="Invalid Date"),"Invalid Date",C859-B859)</f>
        <v>0</v>
      </c>
      <c r="W859" s="4" t="str">
        <f>IF(OR(B859="Invalid Date",C859="Invalid Date"),"Invalid Date",IF(C859&lt;B859,"Invalid Shipping","OK"))</f>
        <v>OK</v>
      </c>
      <c r="X859">
        <f t="shared" si="104"/>
        <v>1</v>
      </c>
      <c r="Y859">
        <f t="shared" si="105"/>
        <v>0.25</v>
      </c>
      <c r="Z859">
        <f t="shared" si="106"/>
        <v>12190.365</v>
      </c>
      <c r="AA859">
        <f t="shared" si="107"/>
        <v>2013.375</v>
      </c>
      <c r="AB859" s="6">
        <f t="shared" si="108"/>
        <v>0.16516117441930575</v>
      </c>
      <c r="AC859" t="str">
        <f t="shared" si="109"/>
        <v>June</v>
      </c>
      <c r="AD859">
        <f t="shared" si="110"/>
        <v>2024</v>
      </c>
      <c r="AE859" t="str">
        <f t="shared" si="111"/>
        <v>Clean</v>
      </c>
    </row>
    <row r="860" spans="1:31">
      <c r="A860" t="s">
        <v>2642</v>
      </c>
      <c r="B860" s="3">
        <v>45327</v>
      </c>
      <c r="C860" s="3">
        <v>45421</v>
      </c>
      <c r="D860" t="s">
        <v>2643</v>
      </c>
      <c r="E860" t="s">
        <v>53</v>
      </c>
      <c r="F860" t="s">
        <v>24</v>
      </c>
      <c r="G860" t="s">
        <v>38</v>
      </c>
      <c r="H860" t="s">
        <v>39</v>
      </c>
      <c r="I860" t="s">
        <v>40</v>
      </c>
      <c r="J860" t="s">
        <v>74</v>
      </c>
      <c r="K860" t="s">
        <v>75</v>
      </c>
      <c r="L860" t="s">
        <v>2644</v>
      </c>
      <c r="M860" t="s">
        <v>31</v>
      </c>
      <c r="N860">
        <v>4</v>
      </c>
      <c r="O860">
        <v>2904.86</v>
      </c>
      <c r="P860">
        <v>0</v>
      </c>
      <c r="Q860">
        <v>11619.44</v>
      </c>
      <c r="R860">
        <v>7184.32</v>
      </c>
      <c r="S860">
        <v>4494.6400000000003</v>
      </c>
      <c r="T860" t="s">
        <v>32</v>
      </c>
      <c r="U860" t="s">
        <v>33</v>
      </c>
      <c r="V860">
        <f>IF(OR(B860="Invalid Date",C860="Invalid Date"),"Invalid Date",C860-B860)</f>
        <v>94</v>
      </c>
      <c r="W860" s="4" t="str">
        <f>IF(OR(B860="Invalid Date",C860="Invalid Date"),"Invalid Date",IF(C860&lt;B860,"Invalid Shipping","OK"))</f>
        <v>OK</v>
      </c>
      <c r="X860">
        <f t="shared" si="104"/>
        <v>1</v>
      </c>
      <c r="Y860">
        <f t="shared" si="105"/>
        <v>0</v>
      </c>
      <c r="Z860">
        <f t="shared" si="106"/>
        <v>11619.44</v>
      </c>
      <c r="AA860">
        <f t="shared" si="107"/>
        <v>4435.1200000000008</v>
      </c>
      <c r="AB860" s="6">
        <f t="shared" si="108"/>
        <v>0.3816982574031107</v>
      </c>
      <c r="AC860" t="str">
        <f t="shared" si="109"/>
        <v>February</v>
      </c>
      <c r="AD860">
        <f t="shared" si="110"/>
        <v>2024</v>
      </c>
      <c r="AE860" t="str">
        <f t="shared" si="111"/>
        <v>Clean</v>
      </c>
    </row>
    <row r="861" spans="1:31">
      <c r="A861" t="s">
        <v>2645</v>
      </c>
      <c r="B861" s="3" t="s">
        <v>2763</v>
      </c>
      <c r="C861" s="3">
        <v>45597</v>
      </c>
      <c r="D861" t="s">
        <v>2646</v>
      </c>
      <c r="E861" t="s">
        <v>89</v>
      </c>
      <c r="F861" t="s">
        <v>90</v>
      </c>
      <c r="G861" t="s">
        <v>54</v>
      </c>
      <c r="H861" t="s">
        <v>247</v>
      </c>
      <c r="I861" t="s">
        <v>248</v>
      </c>
      <c r="J861" t="s">
        <v>74</v>
      </c>
      <c r="K861" t="s">
        <v>171</v>
      </c>
      <c r="L861" t="s">
        <v>2647</v>
      </c>
      <c r="M861" t="s">
        <v>59</v>
      </c>
      <c r="N861">
        <v>6</v>
      </c>
      <c r="O861">
        <v>4399.2</v>
      </c>
      <c r="P861">
        <v>0.05</v>
      </c>
      <c r="Q861">
        <v>25075.439999999999</v>
      </c>
      <c r="R861">
        <v>16282.74</v>
      </c>
      <c r="S861">
        <v>8792.7000000000007</v>
      </c>
      <c r="T861" t="s">
        <v>32</v>
      </c>
      <c r="U861" t="s">
        <v>33</v>
      </c>
      <c r="V861" t="str">
        <f>IF(OR(B861="Invalid Date",C861="Invalid Date"),"Invalid Date",C861-B861)</f>
        <v>Invalid Date</v>
      </c>
      <c r="W861" s="4" t="str">
        <f>IF(OR(B861="Invalid Date",C861="Invalid Date"),"Invalid Date",IF(C861&lt;B861,"Invalid Shipping","OK"))</f>
        <v>Invalid Date</v>
      </c>
      <c r="X861">
        <f t="shared" si="104"/>
        <v>1</v>
      </c>
      <c r="Y861">
        <f t="shared" si="105"/>
        <v>0.05</v>
      </c>
      <c r="Z861">
        <f t="shared" si="106"/>
        <v>25075.439999999995</v>
      </c>
      <c r="AA861">
        <f t="shared" si="107"/>
        <v>8792.6999999999953</v>
      </c>
      <c r="AB861" s="6">
        <f t="shared" si="108"/>
        <v>0.35064987892535471</v>
      </c>
      <c r="AC861" t="str">
        <f t="shared" si="109"/>
        <v/>
      </c>
      <c r="AD861" t="str">
        <f t="shared" si="110"/>
        <v/>
      </c>
      <c r="AE861" t="str">
        <f t="shared" si="111"/>
        <v>Invalid</v>
      </c>
    </row>
    <row r="862" spans="1:31">
      <c r="A862" t="s">
        <v>2648</v>
      </c>
      <c r="B862" s="3">
        <v>45324</v>
      </c>
      <c r="C862" s="3">
        <v>45326</v>
      </c>
      <c r="D862" t="s">
        <v>2649</v>
      </c>
      <c r="E862" t="s">
        <v>71</v>
      </c>
      <c r="F862" t="s">
        <v>95</v>
      </c>
      <c r="G862" t="s">
        <v>25</v>
      </c>
      <c r="H862" t="s">
        <v>136</v>
      </c>
      <c r="I862" t="s">
        <v>137</v>
      </c>
      <c r="J862" t="s">
        <v>28</v>
      </c>
      <c r="K862" t="s">
        <v>124</v>
      </c>
      <c r="L862" t="s">
        <v>2650</v>
      </c>
      <c r="M862" t="s">
        <v>31</v>
      </c>
      <c r="N862">
        <v>1</v>
      </c>
      <c r="O862">
        <v>4397.32</v>
      </c>
      <c r="P862">
        <v>0.05</v>
      </c>
      <c r="Q862">
        <v>4177.45</v>
      </c>
      <c r="R862">
        <v>2299.5</v>
      </c>
      <c r="S862">
        <v>1877.95</v>
      </c>
      <c r="T862" t="s">
        <v>32</v>
      </c>
      <c r="U862" t="s">
        <v>33</v>
      </c>
      <c r="V862">
        <f>IF(OR(B862="Invalid Date",C862="Invalid Date"),"Invalid Date",C862-B862)</f>
        <v>2</v>
      </c>
      <c r="W862" s="4" t="str">
        <f>IF(OR(B862="Invalid Date",C862="Invalid Date"),"Invalid Date",IF(C862&lt;B862,"Invalid Shipping","OK"))</f>
        <v>OK</v>
      </c>
      <c r="X862">
        <f t="shared" si="104"/>
        <v>1</v>
      </c>
      <c r="Y862">
        <f t="shared" si="105"/>
        <v>0.05</v>
      </c>
      <c r="Z862">
        <f t="shared" si="106"/>
        <v>4177.4539999999997</v>
      </c>
      <c r="AA862">
        <f t="shared" si="107"/>
        <v>1877.9539999999997</v>
      </c>
      <c r="AB862" s="6">
        <f t="shared" si="108"/>
        <v>0.44954510570313877</v>
      </c>
      <c r="AC862" t="str">
        <f t="shared" si="109"/>
        <v>February</v>
      </c>
      <c r="AD862">
        <f t="shared" si="110"/>
        <v>2024</v>
      </c>
      <c r="AE862" t="str">
        <f t="shared" si="111"/>
        <v>Clean</v>
      </c>
    </row>
    <row r="863" spans="1:31">
      <c r="A863" t="s">
        <v>2651</v>
      </c>
      <c r="B863" s="3">
        <v>45724</v>
      </c>
      <c r="C863" s="3">
        <v>45725</v>
      </c>
      <c r="D863" t="s">
        <v>2652</v>
      </c>
      <c r="E863" t="s">
        <v>114</v>
      </c>
      <c r="F863" t="s">
        <v>95</v>
      </c>
      <c r="G863" t="s">
        <v>25</v>
      </c>
      <c r="H863" t="s">
        <v>350</v>
      </c>
      <c r="I863" t="s">
        <v>351</v>
      </c>
      <c r="J863" t="s">
        <v>41</v>
      </c>
      <c r="K863" t="s">
        <v>57</v>
      </c>
      <c r="L863" t="s">
        <v>2653</v>
      </c>
      <c r="M863" t="s">
        <v>44</v>
      </c>
      <c r="N863">
        <v>4</v>
      </c>
      <c r="O863">
        <v>3405.68</v>
      </c>
      <c r="P863">
        <v>0.2</v>
      </c>
      <c r="Q863">
        <v>10898.18</v>
      </c>
      <c r="R863">
        <v>6231.41</v>
      </c>
      <c r="S863">
        <v>4666.7700000000004</v>
      </c>
      <c r="T863" t="s">
        <v>32</v>
      </c>
      <c r="U863" t="s">
        <v>33</v>
      </c>
      <c r="V863">
        <f>IF(OR(B863="Invalid Date",C863="Invalid Date"),"Invalid Date",C863-B863)</f>
        <v>1</v>
      </c>
      <c r="W863" s="4" t="str">
        <f>IF(OR(B863="Invalid Date",C863="Invalid Date"),"Invalid Date",IF(C863&lt;B863,"Invalid Shipping","OK"))</f>
        <v>OK</v>
      </c>
      <c r="X863">
        <f t="shared" si="104"/>
        <v>1</v>
      </c>
      <c r="Y863">
        <f t="shared" si="105"/>
        <v>0.2</v>
      </c>
      <c r="Z863">
        <f t="shared" si="106"/>
        <v>10898.175999999999</v>
      </c>
      <c r="AA863">
        <f t="shared" si="107"/>
        <v>4666.7659999999996</v>
      </c>
      <c r="AB863" s="6">
        <f t="shared" si="108"/>
        <v>0.42821532704188298</v>
      </c>
      <c r="AC863" t="str">
        <f t="shared" si="109"/>
        <v>March</v>
      </c>
      <c r="AD863">
        <f t="shared" si="110"/>
        <v>2025</v>
      </c>
      <c r="AE863" t="str">
        <f t="shared" si="111"/>
        <v>Clean</v>
      </c>
    </row>
    <row r="864" spans="1:31">
      <c r="A864" t="s">
        <v>2654</v>
      </c>
      <c r="B864" s="3">
        <v>45742</v>
      </c>
      <c r="C864" s="3">
        <v>45747</v>
      </c>
      <c r="D864" t="s">
        <v>2655</v>
      </c>
      <c r="E864" t="s">
        <v>114</v>
      </c>
      <c r="F864" t="s">
        <v>37</v>
      </c>
      <c r="G864" t="s">
        <v>38</v>
      </c>
      <c r="H864" t="s">
        <v>228</v>
      </c>
      <c r="I864" t="s">
        <v>229</v>
      </c>
      <c r="J864" t="s">
        <v>28</v>
      </c>
      <c r="K864" t="s">
        <v>153</v>
      </c>
      <c r="L864" t="s">
        <v>2656</v>
      </c>
      <c r="M864" t="s">
        <v>50</v>
      </c>
      <c r="N864">
        <v>5</v>
      </c>
      <c r="O864">
        <v>1395.14</v>
      </c>
      <c r="P864">
        <v>0</v>
      </c>
      <c r="Q864">
        <v>6975.7</v>
      </c>
      <c r="R864">
        <v>4797.88</v>
      </c>
      <c r="S864">
        <v>2177.8200000000002</v>
      </c>
      <c r="T864" t="s">
        <v>32</v>
      </c>
      <c r="U864" t="s">
        <v>68</v>
      </c>
      <c r="V864">
        <f>IF(OR(B864="Invalid Date",C864="Invalid Date"),"Invalid Date",C864-B864)</f>
        <v>5</v>
      </c>
      <c r="W864" s="4" t="str">
        <f>IF(OR(B864="Invalid Date",C864="Invalid Date"),"Invalid Date",IF(C864&lt;B864,"Invalid Shipping","OK"))</f>
        <v>OK</v>
      </c>
      <c r="X864">
        <f t="shared" si="104"/>
        <v>1</v>
      </c>
      <c r="Y864">
        <f t="shared" si="105"/>
        <v>0</v>
      </c>
      <c r="Z864">
        <f t="shared" si="106"/>
        <v>6975.7000000000007</v>
      </c>
      <c r="AA864">
        <f t="shared" si="107"/>
        <v>2177.8200000000006</v>
      </c>
      <c r="AB864" s="6">
        <f t="shared" si="108"/>
        <v>0.3122009260719355</v>
      </c>
      <c r="AC864" t="str">
        <f t="shared" si="109"/>
        <v>March</v>
      </c>
      <c r="AD864">
        <f t="shared" si="110"/>
        <v>2025</v>
      </c>
      <c r="AE864" t="str">
        <f t="shared" si="111"/>
        <v>Clean</v>
      </c>
    </row>
    <row r="865" spans="1:31">
      <c r="A865" t="s">
        <v>2657</v>
      </c>
      <c r="B865" s="3">
        <v>45817</v>
      </c>
      <c r="C865" s="3">
        <v>45878</v>
      </c>
      <c r="D865" t="s">
        <v>2658</v>
      </c>
      <c r="E865" t="s">
        <v>128</v>
      </c>
      <c r="F865" t="s">
        <v>95</v>
      </c>
      <c r="G865" t="s">
        <v>63</v>
      </c>
      <c r="H865" t="s">
        <v>72</v>
      </c>
      <c r="I865" t="s">
        <v>73</v>
      </c>
      <c r="J865" t="s">
        <v>41</v>
      </c>
      <c r="K865" t="s">
        <v>57</v>
      </c>
      <c r="L865" t="s">
        <v>2659</v>
      </c>
      <c r="M865" t="s">
        <v>44</v>
      </c>
      <c r="N865">
        <v>3</v>
      </c>
      <c r="O865">
        <v>2937.23</v>
      </c>
      <c r="P865">
        <v>0</v>
      </c>
      <c r="Q865">
        <v>8811.69</v>
      </c>
      <c r="R865">
        <v>6765.91</v>
      </c>
      <c r="S865">
        <v>2045.78</v>
      </c>
      <c r="T865" t="s">
        <v>32</v>
      </c>
      <c r="U865" t="s">
        <v>33</v>
      </c>
      <c r="V865">
        <f>IF(OR(B865="Invalid Date",C865="Invalid Date"),"Invalid Date",C865-B865)</f>
        <v>61</v>
      </c>
      <c r="W865" s="4" t="str">
        <f>IF(OR(B865="Invalid Date",C865="Invalid Date"),"Invalid Date",IF(C865&lt;B865,"Invalid Shipping","OK"))</f>
        <v>OK</v>
      </c>
      <c r="X865">
        <f t="shared" si="104"/>
        <v>1</v>
      </c>
      <c r="Y865">
        <f t="shared" si="105"/>
        <v>0</v>
      </c>
      <c r="Z865">
        <f t="shared" si="106"/>
        <v>8811.69</v>
      </c>
      <c r="AA865">
        <f t="shared" si="107"/>
        <v>2045.7800000000007</v>
      </c>
      <c r="AB865" s="6">
        <f t="shared" si="108"/>
        <v>0.23216658779416893</v>
      </c>
      <c r="AC865" t="str">
        <f t="shared" si="109"/>
        <v>June</v>
      </c>
      <c r="AD865">
        <f t="shared" si="110"/>
        <v>2025</v>
      </c>
      <c r="AE865" t="str">
        <f t="shared" si="111"/>
        <v>Clean</v>
      </c>
    </row>
    <row r="866" spans="1:31">
      <c r="A866" t="s">
        <v>2660</v>
      </c>
      <c r="B866" s="3">
        <v>45902</v>
      </c>
      <c r="C866" s="3">
        <v>45905</v>
      </c>
      <c r="D866" t="s">
        <v>2661</v>
      </c>
      <c r="E866" t="s">
        <v>71</v>
      </c>
      <c r="F866" t="s">
        <v>24</v>
      </c>
      <c r="G866" t="s">
        <v>54</v>
      </c>
      <c r="H866" t="s">
        <v>247</v>
      </c>
      <c r="I866" t="s">
        <v>248</v>
      </c>
      <c r="J866" t="s">
        <v>74</v>
      </c>
      <c r="K866" t="s">
        <v>171</v>
      </c>
      <c r="L866" t="s">
        <v>2662</v>
      </c>
      <c r="M866" t="s">
        <v>50</v>
      </c>
      <c r="N866">
        <v>5</v>
      </c>
      <c r="O866">
        <v>3406.87</v>
      </c>
      <c r="P866">
        <v>0</v>
      </c>
      <c r="Q866">
        <v>17034.349999999999</v>
      </c>
      <c r="R866">
        <v>14631.36</v>
      </c>
      <c r="S866">
        <v>2402.9899999999998</v>
      </c>
      <c r="T866" t="s">
        <v>32</v>
      </c>
      <c r="U866" t="s">
        <v>33</v>
      </c>
      <c r="V866">
        <f>IF(OR(B866="Invalid Date",C866="Invalid Date"),"Invalid Date",C866-B866)</f>
        <v>3</v>
      </c>
      <c r="W866" s="4" t="str">
        <f>IF(OR(B866="Invalid Date",C866="Invalid Date"),"Invalid Date",IF(C866&lt;B866,"Invalid Shipping","OK"))</f>
        <v>OK</v>
      </c>
      <c r="X866">
        <f t="shared" si="104"/>
        <v>1</v>
      </c>
      <c r="Y866">
        <f t="shared" si="105"/>
        <v>0</v>
      </c>
      <c r="Z866">
        <f t="shared" si="106"/>
        <v>17034.349999999999</v>
      </c>
      <c r="AA866">
        <f t="shared" si="107"/>
        <v>2402.989999999998</v>
      </c>
      <c r="AB866" s="6">
        <f t="shared" si="108"/>
        <v>0.14106731398615141</v>
      </c>
      <c r="AC866" t="str">
        <f t="shared" si="109"/>
        <v>September</v>
      </c>
      <c r="AD866">
        <f t="shared" si="110"/>
        <v>2025</v>
      </c>
      <c r="AE866" t="str">
        <f t="shared" si="111"/>
        <v>Clean</v>
      </c>
    </row>
    <row r="867" spans="1:31">
      <c r="A867" t="s">
        <v>2663</v>
      </c>
      <c r="B867" s="3">
        <v>45694</v>
      </c>
      <c r="C867" s="3">
        <v>45702</v>
      </c>
      <c r="D867" t="s">
        <v>2664</v>
      </c>
      <c r="E867" t="s">
        <v>264</v>
      </c>
      <c r="F867" t="s">
        <v>24</v>
      </c>
      <c r="G867" t="s">
        <v>63</v>
      </c>
      <c r="H867" t="s">
        <v>64</v>
      </c>
      <c r="I867" t="s">
        <v>65</v>
      </c>
      <c r="J867" t="s">
        <v>28</v>
      </c>
      <c r="K867" t="s">
        <v>91</v>
      </c>
      <c r="L867" t="s">
        <v>2665</v>
      </c>
      <c r="M867" t="s">
        <v>31</v>
      </c>
      <c r="N867">
        <v>2</v>
      </c>
      <c r="O867">
        <v>3992.04</v>
      </c>
      <c r="P867">
        <v>0</v>
      </c>
      <c r="Q867">
        <v>7984.08</v>
      </c>
      <c r="R867">
        <v>5658.05</v>
      </c>
      <c r="S867">
        <v>2326.0300000000002</v>
      </c>
      <c r="T867" t="s">
        <v>32</v>
      </c>
      <c r="U867" t="s">
        <v>33</v>
      </c>
      <c r="V867">
        <f>IF(OR(B867="Invalid Date",C867="Invalid Date"),"Invalid Date",C867-B867)</f>
        <v>8</v>
      </c>
      <c r="W867" s="4" t="str">
        <f>IF(OR(B867="Invalid Date",C867="Invalid Date"),"Invalid Date",IF(C867&lt;B867,"Invalid Shipping","OK"))</f>
        <v>OK</v>
      </c>
      <c r="X867">
        <f t="shared" si="104"/>
        <v>1</v>
      </c>
      <c r="Y867">
        <f t="shared" si="105"/>
        <v>0</v>
      </c>
      <c r="Z867">
        <f t="shared" si="106"/>
        <v>7984.08</v>
      </c>
      <c r="AA867">
        <f t="shared" si="107"/>
        <v>2326.0299999999997</v>
      </c>
      <c r="AB867" s="6">
        <f t="shared" si="108"/>
        <v>0.29133350367230787</v>
      </c>
      <c r="AC867" t="str">
        <f t="shared" si="109"/>
        <v>February</v>
      </c>
      <c r="AD867">
        <f t="shared" si="110"/>
        <v>2025</v>
      </c>
      <c r="AE867" t="str">
        <f t="shared" si="111"/>
        <v>Clean</v>
      </c>
    </row>
    <row r="868" spans="1:31">
      <c r="A868" t="s">
        <v>2666</v>
      </c>
      <c r="B868" s="3" t="s">
        <v>2763</v>
      </c>
      <c r="C868" s="3">
        <v>45722</v>
      </c>
      <c r="D868" t="s">
        <v>2667</v>
      </c>
      <c r="E868" t="s">
        <v>114</v>
      </c>
      <c r="F868" t="s">
        <v>24</v>
      </c>
      <c r="G868" t="s">
        <v>38</v>
      </c>
      <c r="H868" t="s">
        <v>145</v>
      </c>
      <c r="I868" t="s">
        <v>146</v>
      </c>
      <c r="J868" t="s">
        <v>41</v>
      </c>
      <c r="K868" t="s">
        <v>158</v>
      </c>
      <c r="L868" t="s">
        <v>2668</v>
      </c>
      <c r="M868" t="s">
        <v>50</v>
      </c>
      <c r="N868">
        <v>9</v>
      </c>
      <c r="O868">
        <v>3043.37</v>
      </c>
      <c r="P868">
        <v>0.2</v>
      </c>
      <c r="Q868">
        <v>21912.26</v>
      </c>
      <c r="R868">
        <v>16367.78</v>
      </c>
      <c r="S868">
        <v>5544.48</v>
      </c>
      <c r="T868" t="s">
        <v>111</v>
      </c>
      <c r="U868" t="s">
        <v>68</v>
      </c>
      <c r="V868" t="str">
        <f>IF(OR(B868="Invalid Date",C868="Invalid Date"),"Invalid Date",C868-B868)</f>
        <v>Invalid Date</v>
      </c>
      <c r="W868" s="4" t="str">
        <f>IF(OR(B868="Invalid Date",C868="Invalid Date"),"Invalid Date",IF(C868&lt;B868,"Invalid Shipping","OK"))</f>
        <v>Invalid Date</v>
      </c>
      <c r="X868">
        <f t="shared" si="104"/>
        <v>1</v>
      </c>
      <c r="Y868">
        <f t="shared" si="105"/>
        <v>0.2</v>
      </c>
      <c r="Z868">
        <f t="shared" si="106"/>
        <v>21912.263999999999</v>
      </c>
      <c r="AA868">
        <f t="shared" si="107"/>
        <v>5544.4839999999986</v>
      </c>
      <c r="AB868" s="6">
        <f t="shared" si="108"/>
        <v>0.25303108797885965</v>
      </c>
      <c r="AC868" t="str">
        <f t="shared" si="109"/>
        <v/>
      </c>
      <c r="AD868" t="str">
        <f t="shared" si="110"/>
        <v/>
      </c>
      <c r="AE868" t="str">
        <f t="shared" si="111"/>
        <v>Invalid</v>
      </c>
    </row>
    <row r="869" spans="1:31">
      <c r="A869" t="s">
        <v>2669</v>
      </c>
      <c r="B869" s="3">
        <v>45617</v>
      </c>
      <c r="C869" s="3">
        <v>45618</v>
      </c>
      <c r="D869" t="s">
        <v>2670</v>
      </c>
      <c r="E869" t="s">
        <v>118</v>
      </c>
      <c r="F869" t="s">
        <v>95</v>
      </c>
      <c r="G869" t="s">
        <v>54</v>
      </c>
      <c r="H869" t="s">
        <v>84</v>
      </c>
      <c r="I869" t="s">
        <v>85</v>
      </c>
      <c r="J869" t="s">
        <v>74</v>
      </c>
      <c r="K869" t="s">
        <v>75</v>
      </c>
      <c r="L869" t="s">
        <v>2671</v>
      </c>
      <c r="M869" t="s">
        <v>44</v>
      </c>
      <c r="N869">
        <v>6</v>
      </c>
      <c r="O869">
        <v>1043.49</v>
      </c>
      <c r="P869">
        <v>0.25</v>
      </c>
      <c r="Q869">
        <v>4695.7</v>
      </c>
      <c r="R869">
        <v>3871.69</v>
      </c>
      <c r="S869">
        <v>824.01</v>
      </c>
      <c r="T869" t="s">
        <v>155</v>
      </c>
      <c r="U869" t="s">
        <v>68</v>
      </c>
      <c r="V869">
        <f>IF(OR(B869="Invalid Date",C869="Invalid Date"),"Invalid Date",C869-B869)</f>
        <v>1</v>
      </c>
      <c r="W869" s="4" t="str">
        <f>IF(OR(B869="Invalid Date",C869="Invalid Date"),"Invalid Date",IF(C869&lt;B869,"Invalid Shipping","OK"))</f>
        <v>OK</v>
      </c>
      <c r="X869">
        <f t="shared" si="104"/>
        <v>1</v>
      </c>
      <c r="Y869">
        <f t="shared" si="105"/>
        <v>0.25</v>
      </c>
      <c r="Z869">
        <f t="shared" si="106"/>
        <v>4695.7049999999999</v>
      </c>
      <c r="AA869">
        <f t="shared" si="107"/>
        <v>824.01499999999987</v>
      </c>
      <c r="AB869" s="6">
        <f t="shared" si="108"/>
        <v>0.17548270174553127</v>
      </c>
      <c r="AC869" t="str">
        <f t="shared" si="109"/>
        <v>November</v>
      </c>
      <c r="AD869">
        <f t="shared" si="110"/>
        <v>2024</v>
      </c>
      <c r="AE869" t="str">
        <f t="shared" si="111"/>
        <v>Clean</v>
      </c>
    </row>
    <row r="870" spans="1:31">
      <c r="A870" t="s">
        <v>2672</v>
      </c>
      <c r="B870" s="3">
        <v>45758</v>
      </c>
      <c r="C870" s="3">
        <v>45762</v>
      </c>
      <c r="D870" t="s">
        <v>2673</v>
      </c>
      <c r="E870" t="s">
        <v>71</v>
      </c>
      <c r="F870" t="s">
        <v>95</v>
      </c>
      <c r="G870" t="s">
        <v>54</v>
      </c>
      <c r="H870" t="s">
        <v>175</v>
      </c>
      <c r="I870" t="s">
        <v>176</v>
      </c>
      <c r="J870" t="s">
        <v>28</v>
      </c>
      <c r="K870" t="s">
        <v>124</v>
      </c>
      <c r="L870" t="s">
        <v>2674</v>
      </c>
      <c r="M870" t="s">
        <v>44</v>
      </c>
      <c r="N870">
        <v>9</v>
      </c>
      <c r="O870">
        <v>224.94</v>
      </c>
      <c r="P870">
        <v>0.05</v>
      </c>
      <c r="Q870">
        <v>1923.24</v>
      </c>
      <c r="R870">
        <v>1093.6600000000001</v>
      </c>
      <c r="S870">
        <v>829.58</v>
      </c>
      <c r="T870" t="s">
        <v>32</v>
      </c>
      <c r="U870" t="s">
        <v>33</v>
      </c>
      <c r="V870">
        <f>IF(OR(B870="Invalid Date",C870="Invalid Date"),"Invalid Date",C870-B870)</f>
        <v>4</v>
      </c>
      <c r="W870" s="4" t="str">
        <f>IF(OR(B870="Invalid Date",C870="Invalid Date"),"Invalid Date",IF(C870&lt;B870,"Invalid Shipping","OK"))</f>
        <v>OK</v>
      </c>
      <c r="X870">
        <f t="shared" si="104"/>
        <v>1</v>
      </c>
      <c r="Y870">
        <f t="shared" si="105"/>
        <v>0.05</v>
      </c>
      <c r="Z870">
        <f t="shared" si="106"/>
        <v>1923.2369999999999</v>
      </c>
      <c r="AA870">
        <f t="shared" si="107"/>
        <v>829.57699999999977</v>
      </c>
      <c r="AB870" s="6">
        <f t="shared" si="108"/>
        <v>0.43134413491420964</v>
      </c>
      <c r="AC870" t="str">
        <f t="shared" si="109"/>
        <v>April</v>
      </c>
      <c r="AD870">
        <f t="shared" si="110"/>
        <v>2025</v>
      </c>
      <c r="AE870" t="str">
        <f t="shared" si="111"/>
        <v>Clean</v>
      </c>
    </row>
    <row r="871" spans="1:31">
      <c r="A871" t="s">
        <v>2675</v>
      </c>
      <c r="B871" s="3">
        <v>45811</v>
      </c>
      <c r="C871" s="3">
        <v>45723</v>
      </c>
      <c r="D871" t="s">
        <v>2676</v>
      </c>
      <c r="E871" t="s">
        <v>141</v>
      </c>
      <c r="F871" t="s">
        <v>95</v>
      </c>
      <c r="G871" t="s">
        <v>2767</v>
      </c>
      <c r="H871" t="s">
        <v>350</v>
      </c>
      <c r="I871" t="s">
        <v>351</v>
      </c>
      <c r="J871" t="s">
        <v>41</v>
      </c>
      <c r="K871" t="s">
        <v>66</v>
      </c>
      <c r="L871" t="s">
        <v>1147</v>
      </c>
      <c r="M871" t="s">
        <v>44</v>
      </c>
      <c r="N871">
        <v>6</v>
      </c>
      <c r="O871">
        <v>796.65</v>
      </c>
      <c r="P871">
        <v>0.1</v>
      </c>
      <c r="Q871">
        <v>4301.91</v>
      </c>
      <c r="R871">
        <v>2374.4</v>
      </c>
      <c r="S871">
        <v>1927.51</v>
      </c>
      <c r="T871" t="s">
        <v>32</v>
      </c>
      <c r="U871" t="s">
        <v>33</v>
      </c>
      <c r="V871">
        <f>IF(OR(B871="Invalid Date",C871="Invalid Date"),"Invalid Date",C871-B871)</f>
        <v>-88</v>
      </c>
      <c r="W871" s="4" t="str">
        <f>IF(OR(B871="Invalid Date",C871="Invalid Date"),"Invalid Date",IF(C871&lt;B871,"Invalid Shipping","OK"))</f>
        <v>Invalid Shipping</v>
      </c>
      <c r="X871">
        <f t="shared" si="104"/>
        <v>1</v>
      </c>
      <c r="Y871">
        <f t="shared" si="105"/>
        <v>0.1</v>
      </c>
      <c r="Z871">
        <f t="shared" si="106"/>
        <v>4301.91</v>
      </c>
      <c r="AA871">
        <f t="shared" si="107"/>
        <v>1927.5099999999998</v>
      </c>
      <c r="AB871" s="6">
        <f t="shared" si="108"/>
        <v>0.44805911792668834</v>
      </c>
      <c r="AC871" t="str">
        <f t="shared" si="109"/>
        <v>June</v>
      </c>
      <c r="AD871">
        <f t="shared" si="110"/>
        <v>2025</v>
      </c>
      <c r="AE871" t="str">
        <f t="shared" si="111"/>
        <v>Invalid</v>
      </c>
    </row>
    <row r="872" spans="1:31">
      <c r="A872" t="s">
        <v>2677</v>
      </c>
      <c r="B872" s="3">
        <v>45814</v>
      </c>
      <c r="C872" s="3">
        <v>45815</v>
      </c>
      <c r="D872" t="s">
        <v>2678</v>
      </c>
      <c r="E872" t="s">
        <v>71</v>
      </c>
      <c r="F872" t="s">
        <v>90</v>
      </c>
      <c r="G872" t="s">
        <v>63</v>
      </c>
      <c r="H872" t="s">
        <v>190</v>
      </c>
      <c r="I872" t="s">
        <v>191</v>
      </c>
      <c r="J872" t="s">
        <v>41</v>
      </c>
      <c r="K872" t="s">
        <v>42</v>
      </c>
      <c r="L872" t="s">
        <v>2679</v>
      </c>
      <c r="M872" t="s">
        <v>59</v>
      </c>
      <c r="N872">
        <v>9</v>
      </c>
      <c r="O872">
        <v>2932.92</v>
      </c>
      <c r="P872">
        <v>0.15</v>
      </c>
      <c r="Q872">
        <v>22436.84</v>
      </c>
      <c r="R872">
        <v>17454.669999999998</v>
      </c>
      <c r="S872">
        <v>4982.17</v>
      </c>
      <c r="T872" t="s">
        <v>32</v>
      </c>
      <c r="U872" t="s">
        <v>68</v>
      </c>
      <c r="V872">
        <f>IF(OR(B872="Invalid Date",C872="Invalid Date"),"Invalid Date",C872-B872)</f>
        <v>1</v>
      </c>
      <c r="W872" s="4" t="str">
        <f>IF(OR(B872="Invalid Date",C872="Invalid Date"),"Invalid Date",IF(C872&lt;B872,"Invalid Shipping","OK"))</f>
        <v>OK</v>
      </c>
      <c r="X872">
        <f t="shared" si="104"/>
        <v>1</v>
      </c>
      <c r="Y872">
        <f t="shared" si="105"/>
        <v>0.15</v>
      </c>
      <c r="Z872">
        <f t="shared" si="106"/>
        <v>22436.838</v>
      </c>
      <c r="AA872">
        <f t="shared" si="107"/>
        <v>4982.1680000000015</v>
      </c>
      <c r="AB872" s="6">
        <f t="shared" si="108"/>
        <v>0.22205303617203109</v>
      </c>
      <c r="AC872" t="str">
        <f t="shared" si="109"/>
        <v>June</v>
      </c>
      <c r="AD872">
        <f t="shared" si="110"/>
        <v>2025</v>
      </c>
      <c r="AE872" t="str">
        <f t="shared" si="111"/>
        <v>Clean</v>
      </c>
    </row>
    <row r="873" spans="1:31">
      <c r="A873" t="s">
        <v>2680</v>
      </c>
      <c r="B873" s="3" t="s">
        <v>2763</v>
      </c>
      <c r="C873" s="3">
        <v>45344</v>
      </c>
      <c r="D873" t="s">
        <v>2551</v>
      </c>
      <c r="E873" t="s">
        <v>79</v>
      </c>
      <c r="F873" t="s">
        <v>37</v>
      </c>
      <c r="G873" t="s">
        <v>54</v>
      </c>
      <c r="H873" t="s">
        <v>55</v>
      </c>
      <c r="I873" t="s">
        <v>56</v>
      </c>
      <c r="J873" t="s">
        <v>74</v>
      </c>
      <c r="K873" t="s">
        <v>75</v>
      </c>
      <c r="L873" t="s">
        <v>2681</v>
      </c>
      <c r="M873" t="s">
        <v>50</v>
      </c>
      <c r="N873">
        <v>9</v>
      </c>
      <c r="O873">
        <v>2186.23</v>
      </c>
      <c r="P873">
        <v>0</v>
      </c>
      <c r="Q873">
        <v>19676.07</v>
      </c>
      <c r="R873">
        <v>12458.62</v>
      </c>
      <c r="S873">
        <v>7217.45</v>
      </c>
      <c r="T873" t="s">
        <v>102</v>
      </c>
      <c r="U873" t="s">
        <v>68</v>
      </c>
      <c r="V873" t="str">
        <f>IF(OR(B873="Invalid Date",C873="Invalid Date"),"Invalid Date",C873-B873)</f>
        <v>Invalid Date</v>
      </c>
      <c r="W873" s="4" t="str">
        <f>IF(OR(B873="Invalid Date",C873="Invalid Date"),"Invalid Date",IF(C873&lt;B873,"Invalid Shipping","OK"))</f>
        <v>Invalid Date</v>
      </c>
      <c r="X873">
        <f t="shared" si="104"/>
        <v>1</v>
      </c>
      <c r="Y873">
        <f t="shared" si="105"/>
        <v>0</v>
      </c>
      <c r="Z873">
        <f t="shared" si="106"/>
        <v>19676.07</v>
      </c>
      <c r="AA873">
        <f t="shared" si="107"/>
        <v>7217.4499999999989</v>
      </c>
      <c r="AB873" s="6">
        <f t="shared" si="108"/>
        <v>0.36681359641432454</v>
      </c>
      <c r="AC873" t="str">
        <f t="shared" si="109"/>
        <v/>
      </c>
      <c r="AD873" t="str">
        <f t="shared" si="110"/>
        <v/>
      </c>
      <c r="AE873" t="str">
        <f t="shared" si="111"/>
        <v>Invalid</v>
      </c>
    </row>
    <row r="874" spans="1:31">
      <c r="A874" t="s">
        <v>2682</v>
      </c>
      <c r="B874" s="3">
        <v>45302</v>
      </c>
      <c r="C874" s="3">
        <v>45598</v>
      </c>
      <c r="D874" t="s">
        <v>1960</v>
      </c>
      <c r="E874" t="s">
        <v>23</v>
      </c>
      <c r="F874" t="s">
        <v>90</v>
      </c>
      <c r="G874" t="s">
        <v>38</v>
      </c>
      <c r="H874" t="s">
        <v>99</v>
      </c>
      <c r="I874" t="s">
        <v>100</v>
      </c>
      <c r="J874" t="s">
        <v>41</v>
      </c>
      <c r="K874" t="s">
        <v>57</v>
      </c>
      <c r="L874" t="s">
        <v>2683</v>
      </c>
      <c r="M874" t="s">
        <v>59</v>
      </c>
      <c r="N874">
        <v>5</v>
      </c>
      <c r="O874">
        <v>2212.02</v>
      </c>
      <c r="P874">
        <v>0.2</v>
      </c>
      <c r="Q874">
        <v>8848.08</v>
      </c>
      <c r="R874">
        <v>5691.56</v>
      </c>
      <c r="S874">
        <v>3156.52</v>
      </c>
      <c r="T874" t="s">
        <v>32</v>
      </c>
      <c r="U874" t="s">
        <v>33</v>
      </c>
      <c r="V874">
        <f>IF(OR(B874="Invalid Date",C874="Invalid Date"),"Invalid Date",C874-B874)</f>
        <v>296</v>
      </c>
      <c r="W874" s="4" t="str">
        <f>IF(OR(B874="Invalid Date",C874="Invalid Date"),"Invalid Date",IF(C874&lt;B874,"Invalid Shipping","OK"))</f>
        <v>OK</v>
      </c>
      <c r="X874">
        <f t="shared" si="104"/>
        <v>1</v>
      </c>
      <c r="Y874">
        <f t="shared" si="105"/>
        <v>0.2</v>
      </c>
      <c r="Z874">
        <f t="shared" si="106"/>
        <v>8848.08</v>
      </c>
      <c r="AA874">
        <f t="shared" si="107"/>
        <v>3156.5199999999995</v>
      </c>
      <c r="AB874" s="6">
        <f t="shared" si="108"/>
        <v>0.35674632236598219</v>
      </c>
      <c r="AC874" t="str">
        <f t="shared" si="109"/>
        <v>January</v>
      </c>
      <c r="AD874">
        <f t="shared" si="110"/>
        <v>2024</v>
      </c>
      <c r="AE874" t="str">
        <f t="shared" si="111"/>
        <v>Clean</v>
      </c>
    </row>
    <row r="875" spans="1:31">
      <c r="A875" t="s">
        <v>2684</v>
      </c>
      <c r="B875" s="3">
        <v>45689</v>
      </c>
      <c r="C875" s="3">
        <v>45696</v>
      </c>
      <c r="D875" t="s">
        <v>2685</v>
      </c>
      <c r="E875" t="s">
        <v>89</v>
      </c>
      <c r="F875" t="s">
        <v>95</v>
      </c>
      <c r="G875" t="s">
        <v>63</v>
      </c>
      <c r="H875" t="s">
        <v>180</v>
      </c>
      <c r="I875" t="s">
        <v>181</v>
      </c>
      <c r="J875" t="s">
        <v>28</v>
      </c>
      <c r="K875" t="s">
        <v>124</v>
      </c>
      <c r="L875" t="s">
        <v>2686</v>
      </c>
      <c r="M875" t="s">
        <v>31</v>
      </c>
      <c r="N875">
        <v>8</v>
      </c>
      <c r="O875">
        <v>623.30999999999995</v>
      </c>
      <c r="P875">
        <v>0.1</v>
      </c>
      <c r="Q875">
        <v>4487.83</v>
      </c>
      <c r="R875">
        <v>2633.78</v>
      </c>
      <c r="S875">
        <v>1854.05</v>
      </c>
      <c r="T875" t="s">
        <v>32</v>
      </c>
      <c r="U875" t="s">
        <v>33</v>
      </c>
      <c r="V875">
        <f>IF(OR(B875="Invalid Date",C875="Invalid Date"),"Invalid Date",C875-B875)</f>
        <v>7</v>
      </c>
      <c r="W875" s="4" t="str">
        <f>IF(OR(B875="Invalid Date",C875="Invalid Date"),"Invalid Date",IF(C875&lt;B875,"Invalid Shipping","OK"))</f>
        <v>OK</v>
      </c>
      <c r="X875">
        <f t="shared" si="104"/>
        <v>1</v>
      </c>
      <c r="Y875">
        <f t="shared" si="105"/>
        <v>0.1</v>
      </c>
      <c r="Z875">
        <f t="shared" si="106"/>
        <v>4487.8319999999994</v>
      </c>
      <c r="AA875">
        <f t="shared" si="107"/>
        <v>1854.0519999999992</v>
      </c>
      <c r="AB875" s="6">
        <f t="shared" si="108"/>
        <v>0.41312865543986482</v>
      </c>
      <c r="AC875" t="str">
        <f t="shared" si="109"/>
        <v>February</v>
      </c>
      <c r="AD875">
        <f t="shared" si="110"/>
        <v>2025</v>
      </c>
      <c r="AE875" t="str">
        <f t="shared" si="111"/>
        <v>Clean</v>
      </c>
    </row>
    <row r="876" spans="1:31">
      <c r="A876" t="s">
        <v>2687</v>
      </c>
      <c r="B876" s="3">
        <v>45853</v>
      </c>
      <c r="C876" s="3">
        <v>45854</v>
      </c>
      <c r="D876" t="s">
        <v>2688</v>
      </c>
      <c r="E876" t="s">
        <v>71</v>
      </c>
      <c r="F876" t="s">
        <v>37</v>
      </c>
      <c r="G876" t="s">
        <v>63</v>
      </c>
      <c r="H876" t="s">
        <v>64</v>
      </c>
      <c r="I876" t="s">
        <v>65</v>
      </c>
      <c r="J876" t="s">
        <v>28</v>
      </c>
      <c r="K876" t="s">
        <v>29</v>
      </c>
      <c r="L876" t="s">
        <v>2689</v>
      </c>
      <c r="M876" t="s">
        <v>59</v>
      </c>
      <c r="N876">
        <v>8</v>
      </c>
      <c r="O876">
        <v>3924.88</v>
      </c>
      <c r="P876">
        <v>0.05</v>
      </c>
      <c r="Q876">
        <v>29829.09</v>
      </c>
      <c r="R876">
        <v>20710.18</v>
      </c>
      <c r="S876">
        <v>9118.91</v>
      </c>
      <c r="T876" t="s">
        <v>32</v>
      </c>
      <c r="U876" t="s">
        <v>33</v>
      </c>
      <c r="V876">
        <f>IF(OR(B876="Invalid Date",C876="Invalid Date"),"Invalid Date",C876-B876)</f>
        <v>1</v>
      </c>
      <c r="W876" s="4" t="str">
        <f>IF(OR(B876="Invalid Date",C876="Invalid Date"),"Invalid Date",IF(C876&lt;B876,"Invalid Shipping","OK"))</f>
        <v>OK</v>
      </c>
      <c r="X876">
        <f t="shared" si="104"/>
        <v>1</v>
      </c>
      <c r="Y876">
        <f t="shared" si="105"/>
        <v>0.05</v>
      </c>
      <c r="Z876">
        <f t="shared" si="106"/>
        <v>29829.088</v>
      </c>
      <c r="AA876">
        <f t="shared" si="107"/>
        <v>9118.9079999999994</v>
      </c>
      <c r="AB876" s="6">
        <f t="shared" si="108"/>
        <v>0.30570522303598419</v>
      </c>
      <c r="AC876" t="str">
        <f t="shared" si="109"/>
        <v>July</v>
      </c>
      <c r="AD876">
        <f t="shared" si="110"/>
        <v>2025</v>
      </c>
      <c r="AE876" t="str">
        <f t="shared" si="111"/>
        <v>Clean</v>
      </c>
    </row>
    <row r="877" spans="1:31">
      <c r="A877" t="s">
        <v>2690</v>
      </c>
      <c r="B877" s="3">
        <v>45514</v>
      </c>
      <c r="C877" s="3">
        <v>45604</v>
      </c>
      <c r="D877" t="s">
        <v>2691</v>
      </c>
      <c r="E877" t="s">
        <v>36</v>
      </c>
      <c r="F877" t="s">
        <v>90</v>
      </c>
      <c r="G877" t="s">
        <v>63</v>
      </c>
      <c r="H877" t="s">
        <v>64</v>
      </c>
      <c r="I877" t="s">
        <v>65</v>
      </c>
      <c r="J877" t="s">
        <v>74</v>
      </c>
      <c r="K877" t="s">
        <v>80</v>
      </c>
      <c r="L877" t="s">
        <v>2692</v>
      </c>
      <c r="M877" t="s">
        <v>50</v>
      </c>
      <c r="N877">
        <v>7</v>
      </c>
      <c r="O877">
        <v>3852.62</v>
      </c>
      <c r="P877">
        <v>0.2</v>
      </c>
      <c r="Q877">
        <v>21574.67</v>
      </c>
      <c r="R877">
        <v>14672.83</v>
      </c>
      <c r="S877">
        <v>6901.84</v>
      </c>
      <c r="T877" t="s">
        <v>32</v>
      </c>
      <c r="U877" t="s">
        <v>33</v>
      </c>
      <c r="V877">
        <f>IF(OR(B877="Invalid Date",C877="Invalid Date"),"Invalid Date",C877-B877)</f>
        <v>90</v>
      </c>
      <c r="W877" s="4" t="str">
        <f>IF(OR(B877="Invalid Date",C877="Invalid Date"),"Invalid Date",IF(C877&lt;B877,"Invalid Shipping","OK"))</f>
        <v>OK</v>
      </c>
      <c r="X877">
        <f t="shared" si="104"/>
        <v>1</v>
      </c>
      <c r="Y877">
        <f t="shared" si="105"/>
        <v>0.2</v>
      </c>
      <c r="Z877">
        <f t="shared" si="106"/>
        <v>21574.672000000002</v>
      </c>
      <c r="AA877">
        <f t="shared" si="107"/>
        <v>6901.8420000000024</v>
      </c>
      <c r="AB877" s="6">
        <f t="shared" si="108"/>
        <v>0.31990484026825539</v>
      </c>
      <c r="AC877" t="str">
        <f t="shared" si="109"/>
        <v>August</v>
      </c>
      <c r="AD877">
        <f t="shared" si="110"/>
        <v>2024</v>
      </c>
      <c r="AE877" t="str">
        <f t="shared" si="111"/>
        <v>Clean</v>
      </c>
    </row>
    <row r="878" spans="1:31">
      <c r="A878" t="s">
        <v>2693</v>
      </c>
      <c r="B878" s="3" t="s">
        <v>2763</v>
      </c>
      <c r="C878" s="3">
        <v>45616</v>
      </c>
      <c r="D878" t="s">
        <v>2694</v>
      </c>
      <c r="E878" t="s">
        <v>114</v>
      </c>
      <c r="F878" t="s">
        <v>24</v>
      </c>
      <c r="G878" t="s">
        <v>63</v>
      </c>
      <c r="H878" t="s">
        <v>26</v>
      </c>
      <c r="I878" t="s">
        <v>109</v>
      </c>
      <c r="J878" t="s">
        <v>41</v>
      </c>
      <c r="K878" t="s">
        <v>66</v>
      </c>
      <c r="L878" t="s">
        <v>845</v>
      </c>
      <c r="M878" t="s">
        <v>50</v>
      </c>
      <c r="N878">
        <v>6</v>
      </c>
      <c r="O878">
        <v>3790.22</v>
      </c>
      <c r="P878">
        <v>0</v>
      </c>
      <c r="Q878">
        <v>22741.32</v>
      </c>
      <c r="R878">
        <v>16388.57</v>
      </c>
      <c r="S878">
        <v>6352.75</v>
      </c>
      <c r="T878" t="s">
        <v>32</v>
      </c>
      <c r="U878" t="s">
        <v>33</v>
      </c>
      <c r="V878" t="str">
        <f>IF(OR(B878="Invalid Date",C878="Invalid Date"),"Invalid Date",C878-B878)</f>
        <v>Invalid Date</v>
      </c>
      <c r="W878" s="4" t="str">
        <f>IF(OR(B878="Invalid Date",C878="Invalid Date"),"Invalid Date",IF(C878&lt;B878,"Invalid Shipping","OK"))</f>
        <v>Invalid Date</v>
      </c>
      <c r="X878">
        <f t="shared" si="104"/>
        <v>1</v>
      </c>
      <c r="Y878">
        <f t="shared" si="105"/>
        <v>0</v>
      </c>
      <c r="Z878">
        <f t="shared" si="106"/>
        <v>22741.32</v>
      </c>
      <c r="AA878">
        <f t="shared" si="107"/>
        <v>6352.75</v>
      </c>
      <c r="AB878" s="6">
        <f t="shared" si="108"/>
        <v>0.27934834037777928</v>
      </c>
      <c r="AC878" t="str">
        <f t="shared" si="109"/>
        <v/>
      </c>
      <c r="AD878" t="str">
        <f t="shared" si="110"/>
        <v/>
      </c>
      <c r="AE878" t="str">
        <f t="shared" si="111"/>
        <v>Invalid</v>
      </c>
    </row>
    <row r="879" spans="1:31">
      <c r="A879" t="s">
        <v>2695</v>
      </c>
      <c r="B879" s="3">
        <v>45895</v>
      </c>
      <c r="C879" s="3">
        <v>45903</v>
      </c>
      <c r="D879" t="s">
        <v>2696</v>
      </c>
      <c r="E879" t="s">
        <v>128</v>
      </c>
      <c r="F879" t="s">
        <v>24</v>
      </c>
      <c r="G879" t="s">
        <v>63</v>
      </c>
      <c r="H879" t="s">
        <v>26</v>
      </c>
      <c r="I879" t="s">
        <v>109</v>
      </c>
      <c r="J879" t="s">
        <v>28</v>
      </c>
      <c r="K879" t="s">
        <v>124</v>
      </c>
      <c r="L879" t="s">
        <v>2697</v>
      </c>
      <c r="M879" t="s">
        <v>31</v>
      </c>
      <c r="N879">
        <v>6</v>
      </c>
      <c r="O879">
        <v>674.36</v>
      </c>
      <c r="P879">
        <v>0.1</v>
      </c>
      <c r="Q879">
        <v>3641.54</v>
      </c>
      <c r="R879">
        <v>2690.37</v>
      </c>
      <c r="S879">
        <v>951.17</v>
      </c>
      <c r="T879" t="s">
        <v>32</v>
      </c>
      <c r="U879" t="s">
        <v>33</v>
      </c>
      <c r="V879">
        <f>IF(OR(B879="Invalid Date",C879="Invalid Date"),"Invalid Date",C879-B879)</f>
        <v>8</v>
      </c>
      <c r="W879" s="4" t="str">
        <f>IF(OR(B879="Invalid Date",C879="Invalid Date"),"Invalid Date",IF(C879&lt;B879,"Invalid Shipping","OK"))</f>
        <v>OK</v>
      </c>
      <c r="X879">
        <f t="shared" si="104"/>
        <v>1</v>
      </c>
      <c r="Y879">
        <f t="shared" si="105"/>
        <v>0.1</v>
      </c>
      <c r="Z879">
        <f t="shared" si="106"/>
        <v>3641.5439999999999</v>
      </c>
      <c r="AA879">
        <f t="shared" si="107"/>
        <v>951.17399999999998</v>
      </c>
      <c r="AB879" s="6">
        <f t="shared" si="108"/>
        <v>0.26120074342092253</v>
      </c>
      <c r="AC879" t="str">
        <f t="shared" si="109"/>
        <v>August</v>
      </c>
      <c r="AD879">
        <f t="shared" si="110"/>
        <v>2025</v>
      </c>
      <c r="AE879" t="str">
        <f t="shared" si="111"/>
        <v>Clean</v>
      </c>
    </row>
    <row r="880" spans="1:31">
      <c r="A880" t="s">
        <v>2698</v>
      </c>
      <c r="B880" s="3">
        <v>45313</v>
      </c>
      <c r="C880" s="3">
        <v>45313</v>
      </c>
      <c r="D880" t="s">
        <v>2699</v>
      </c>
      <c r="E880" t="s">
        <v>23</v>
      </c>
      <c r="F880" t="s">
        <v>90</v>
      </c>
      <c r="G880" t="s">
        <v>38</v>
      </c>
      <c r="H880" t="s">
        <v>99</v>
      </c>
      <c r="I880" t="s">
        <v>100</v>
      </c>
      <c r="J880" t="s">
        <v>28</v>
      </c>
      <c r="K880" t="s">
        <v>29</v>
      </c>
      <c r="L880" t="s">
        <v>2700</v>
      </c>
      <c r="M880" t="s">
        <v>50</v>
      </c>
      <c r="N880">
        <v>8</v>
      </c>
      <c r="O880">
        <v>1557.21</v>
      </c>
      <c r="P880">
        <v>0.05</v>
      </c>
      <c r="Q880">
        <v>11834.8</v>
      </c>
      <c r="R880">
        <v>9322.36</v>
      </c>
      <c r="S880">
        <v>2512.44</v>
      </c>
      <c r="T880" t="s">
        <v>32</v>
      </c>
      <c r="U880" t="s">
        <v>33</v>
      </c>
      <c r="V880">
        <f>IF(OR(B880="Invalid Date",C880="Invalid Date"),"Invalid Date",C880-B880)</f>
        <v>0</v>
      </c>
      <c r="W880" s="4" t="str">
        <f>IF(OR(B880="Invalid Date",C880="Invalid Date"),"Invalid Date",IF(C880&lt;B880,"Invalid Shipping","OK"))</f>
        <v>OK</v>
      </c>
      <c r="X880">
        <f t="shared" si="104"/>
        <v>1</v>
      </c>
      <c r="Y880">
        <f t="shared" si="105"/>
        <v>0.05</v>
      </c>
      <c r="Z880">
        <f t="shared" si="106"/>
        <v>11834.796</v>
      </c>
      <c r="AA880">
        <f t="shared" si="107"/>
        <v>2512.4359999999997</v>
      </c>
      <c r="AB880" s="6">
        <f t="shared" si="108"/>
        <v>0.21229229468763125</v>
      </c>
      <c r="AC880" t="str">
        <f t="shared" si="109"/>
        <v>January</v>
      </c>
      <c r="AD880">
        <f t="shared" si="110"/>
        <v>2024</v>
      </c>
      <c r="AE880" t="str">
        <f t="shared" si="111"/>
        <v>Clean</v>
      </c>
    </row>
    <row r="881" spans="1:31">
      <c r="A881" t="s">
        <v>2701</v>
      </c>
      <c r="B881" s="3">
        <v>45896</v>
      </c>
      <c r="C881" s="3" t="s">
        <v>2763</v>
      </c>
      <c r="D881" t="s">
        <v>2702</v>
      </c>
      <c r="E881" t="s">
        <v>62</v>
      </c>
      <c r="F881" t="s">
        <v>95</v>
      </c>
      <c r="G881" t="s">
        <v>25</v>
      </c>
      <c r="H881" t="s">
        <v>136</v>
      </c>
      <c r="I881" t="s">
        <v>137</v>
      </c>
      <c r="J881" t="s">
        <v>28</v>
      </c>
      <c r="K881" t="s">
        <v>48</v>
      </c>
      <c r="L881" t="s">
        <v>2703</v>
      </c>
      <c r="M881" t="s">
        <v>59</v>
      </c>
      <c r="N881">
        <v>6</v>
      </c>
      <c r="O881">
        <v>1182.03</v>
      </c>
      <c r="P881">
        <v>0.15</v>
      </c>
      <c r="Q881">
        <v>6028.35</v>
      </c>
      <c r="R881">
        <v>4433.63</v>
      </c>
      <c r="S881">
        <v>1594.72</v>
      </c>
      <c r="T881" t="s">
        <v>32</v>
      </c>
      <c r="U881" t="s">
        <v>33</v>
      </c>
      <c r="V881" t="str">
        <f>IF(OR(B881="Invalid Date",C881="Invalid Date"),"Invalid Date",C881-B881)</f>
        <v>Invalid Date</v>
      </c>
      <c r="W881" s="4" t="str">
        <f>IF(OR(B881="Invalid Date",C881="Invalid Date"),"Invalid Date",IF(C881&lt;B881,"Invalid Shipping","OK"))</f>
        <v>Invalid Date</v>
      </c>
      <c r="X881">
        <f t="shared" si="104"/>
        <v>1</v>
      </c>
      <c r="Y881">
        <f t="shared" si="105"/>
        <v>0.15</v>
      </c>
      <c r="Z881">
        <f t="shared" si="106"/>
        <v>6028.3530000000001</v>
      </c>
      <c r="AA881">
        <f t="shared" si="107"/>
        <v>1594.723</v>
      </c>
      <c r="AB881" s="6">
        <f t="shared" si="108"/>
        <v>0.26453709661660491</v>
      </c>
      <c r="AC881" t="str">
        <f t="shared" si="109"/>
        <v>August</v>
      </c>
      <c r="AD881">
        <f t="shared" si="110"/>
        <v>2025</v>
      </c>
      <c r="AE881" t="str">
        <f t="shared" si="111"/>
        <v>Invalid</v>
      </c>
    </row>
    <row r="882" spans="1:31">
      <c r="A882" t="s">
        <v>2704</v>
      </c>
      <c r="B882" s="3">
        <v>45359</v>
      </c>
      <c r="C882" s="3" t="s">
        <v>2763</v>
      </c>
      <c r="D882" t="s">
        <v>2705</v>
      </c>
      <c r="E882" t="s">
        <v>128</v>
      </c>
      <c r="F882" t="s">
        <v>37</v>
      </c>
      <c r="G882" t="s">
        <v>2767</v>
      </c>
      <c r="H882" t="s">
        <v>122</v>
      </c>
      <c r="I882" t="s">
        <v>123</v>
      </c>
      <c r="J882" t="s">
        <v>41</v>
      </c>
      <c r="K882" t="s">
        <v>66</v>
      </c>
      <c r="L882" t="s">
        <v>2706</v>
      </c>
      <c r="M882" t="s">
        <v>50</v>
      </c>
      <c r="N882">
        <v>5</v>
      </c>
      <c r="O882">
        <v>3234.77</v>
      </c>
      <c r="P882">
        <v>0</v>
      </c>
      <c r="Q882">
        <v>16173.85</v>
      </c>
      <c r="R882">
        <v>13636.34</v>
      </c>
      <c r="S882">
        <v>2537.5100000000002</v>
      </c>
      <c r="T882" t="s">
        <v>32</v>
      </c>
      <c r="U882" t="s">
        <v>33</v>
      </c>
      <c r="V882" t="str">
        <f>IF(OR(B882="Invalid Date",C882="Invalid Date"),"Invalid Date",C882-B882)</f>
        <v>Invalid Date</v>
      </c>
      <c r="W882" s="4" t="str">
        <f>IF(OR(B882="Invalid Date",C882="Invalid Date"),"Invalid Date",IF(C882&lt;B882,"Invalid Shipping","OK"))</f>
        <v>Invalid Date</v>
      </c>
      <c r="X882">
        <f t="shared" si="104"/>
        <v>1</v>
      </c>
      <c r="Y882">
        <f t="shared" si="105"/>
        <v>0</v>
      </c>
      <c r="Z882">
        <f t="shared" si="106"/>
        <v>16173.85</v>
      </c>
      <c r="AA882">
        <f t="shared" si="107"/>
        <v>2537.5100000000002</v>
      </c>
      <c r="AB882" s="6">
        <f t="shared" si="108"/>
        <v>0.15688967067210344</v>
      </c>
      <c r="AC882" t="str">
        <f t="shared" si="109"/>
        <v>March</v>
      </c>
      <c r="AD882">
        <f t="shared" si="110"/>
        <v>2024</v>
      </c>
      <c r="AE882" t="str">
        <f t="shared" si="111"/>
        <v>Invalid</v>
      </c>
    </row>
    <row r="883" spans="1:31">
      <c r="A883" t="s">
        <v>2707</v>
      </c>
      <c r="B883" s="3">
        <v>45627</v>
      </c>
      <c r="C883" s="3">
        <v>45631</v>
      </c>
      <c r="D883" t="s">
        <v>2708</v>
      </c>
      <c r="E883" t="s">
        <v>62</v>
      </c>
      <c r="F883" t="s">
        <v>37</v>
      </c>
      <c r="G883" t="s">
        <v>54</v>
      </c>
      <c r="H883" t="s">
        <v>84</v>
      </c>
      <c r="I883" t="s">
        <v>85</v>
      </c>
      <c r="J883" t="s">
        <v>74</v>
      </c>
      <c r="K883" t="s">
        <v>80</v>
      </c>
      <c r="L883" t="s">
        <v>2709</v>
      </c>
      <c r="M883" t="s">
        <v>31</v>
      </c>
      <c r="N883">
        <v>9</v>
      </c>
      <c r="O883">
        <v>3726.75</v>
      </c>
      <c r="P883">
        <v>0.25</v>
      </c>
      <c r="Q883">
        <v>25155.56</v>
      </c>
      <c r="R883">
        <v>17592.689999999999</v>
      </c>
      <c r="S883">
        <v>7562.87</v>
      </c>
      <c r="T883" t="s">
        <v>32</v>
      </c>
      <c r="U883" t="s">
        <v>33</v>
      </c>
      <c r="V883">
        <f>IF(OR(B883="Invalid Date",C883="Invalid Date"),"Invalid Date",C883-B883)</f>
        <v>4</v>
      </c>
      <c r="W883" s="4" t="str">
        <f>IF(OR(B883="Invalid Date",C883="Invalid Date"),"Invalid Date",IF(C883&lt;B883,"Invalid Shipping","OK"))</f>
        <v>OK</v>
      </c>
      <c r="X883">
        <f t="shared" si="104"/>
        <v>1</v>
      </c>
      <c r="Y883">
        <f t="shared" si="105"/>
        <v>0.25</v>
      </c>
      <c r="Z883">
        <f t="shared" si="106"/>
        <v>25155.5625</v>
      </c>
      <c r="AA883">
        <f t="shared" si="107"/>
        <v>7562.8725000000013</v>
      </c>
      <c r="AB883" s="6">
        <f t="shared" si="108"/>
        <v>0.30064414182747856</v>
      </c>
      <c r="AC883" t="str">
        <f t="shared" si="109"/>
        <v>December</v>
      </c>
      <c r="AD883">
        <f t="shared" si="110"/>
        <v>2024</v>
      </c>
      <c r="AE883" t="str">
        <f t="shared" si="111"/>
        <v>Clean</v>
      </c>
    </row>
    <row r="884" spans="1:31">
      <c r="A884" t="s">
        <v>2710</v>
      </c>
      <c r="B884" s="3">
        <v>45690</v>
      </c>
      <c r="C884" s="3">
        <v>45932</v>
      </c>
      <c r="D884" t="s">
        <v>2711</v>
      </c>
      <c r="E884" t="s">
        <v>132</v>
      </c>
      <c r="F884" t="s">
        <v>90</v>
      </c>
      <c r="G884" t="s">
        <v>38</v>
      </c>
      <c r="H884" t="s">
        <v>145</v>
      </c>
      <c r="I884" t="s">
        <v>146</v>
      </c>
      <c r="J884" t="s">
        <v>74</v>
      </c>
      <c r="K884" t="s">
        <v>75</v>
      </c>
      <c r="L884" t="s">
        <v>2712</v>
      </c>
      <c r="M884" t="s">
        <v>59</v>
      </c>
      <c r="N884">
        <v>4</v>
      </c>
      <c r="O884">
        <v>1912.45</v>
      </c>
      <c r="P884">
        <v>0</v>
      </c>
      <c r="Q884">
        <v>7649.8</v>
      </c>
      <c r="R884">
        <v>4894.53</v>
      </c>
      <c r="S884">
        <v>2755.27</v>
      </c>
      <c r="T884" t="s">
        <v>111</v>
      </c>
      <c r="U884" t="s">
        <v>103</v>
      </c>
      <c r="V884">
        <f>IF(OR(B884="Invalid Date",C884="Invalid Date"),"Invalid Date",C884-B884)</f>
        <v>242</v>
      </c>
      <c r="W884" s="4" t="str">
        <f>IF(OR(B884="Invalid Date",C884="Invalid Date"),"Invalid Date",IF(C884&lt;B884,"Invalid Shipping","OK"))</f>
        <v>OK</v>
      </c>
      <c r="X884">
        <f t="shared" si="104"/>
        <v>1</v>
      </c>
      <c r="Y884">
        <f t="shared" si="105"/>
        <v>0</v>
      </c>
      <c r="Z884">
        <f t="shared" si="106"/>
        <v>7649.8</v>
      </c>
      <c r="AA884">
        <f t="shared" si="107"/>
        <v>2755.2700000000004</v>
      </c>
      <c r="AB884" s="6">
        <f t="shared" si="108"/>
        <v>0.36017542942299152</v>
      </c>
      <c r="AC884" t="str">
        <f t="shared" si="109"/>
        <v>February</v>
      </c>
      <c r="AD884">
        <f t="shared" si="110"/>
        <v>2025</v>
      </c>
      <c r="AE884" t="str">
        <f t="shared" si="111"/>
        <v>Clean</v>
      </c>
    </row>
    <row r="885" spans="1:31">
      <c r="A885" t="s">
        <v>2713</v>
      </c>
      <c r="B885" s="3">
        <v>45775</v>
      </c>
      <c r="C885" s="3">
        <v>45662</v>
      </c>
      <c r="D885" t="s">
        <v>2714</v>
      </c>
      <c r="E885" t="s">
        <v>128</v>
      </c>
      <c r="F885" t="s">
        <v>37</v>
      </c>
      <c r="G885" t="s">
        <v>63</v>
      </c>
      <c r="H885" t="s">
        <v>190</v>
      </c>
      <c r="I885" t="s">
        <v>191</v>
      </c>
      <c r="J885" t="s">
        <v>28</v>
      </c>
      <c r="K885" t="s">
        <v>124</v>
      </c>
      <c r="L885" t="s">
        <v>2715</v>
      </c>
      <c r="M885" t="s">
        <v>44</v>
      </c>
      <c r="N885">
        <v>1</v>
      </c>
      <c r="O885">
        <v>1620.87</v>
      </c>
      <c r="P885">
        <v>0</v>
      </c>
      <c r="Q885">
        <v>1620.87</v>
      </c>
      <c r="R885">
        <v>1103.6099999999999</v>
      </c>
      <c r="S885">
        <v>517.26</v>
      </c>
      <c r="T885" t="s">
        <v>32</v>
      </c>
      <c r="U885" t="s">
        <v>33</v>
      </c>
      <c r="V885">
        <f>IF(OR(B885="Invalid Date",C885="Invalid Date"),"Invalid Date",C885-B885)</f>
        <v>-113</v>
      </c>
      <c r="W885" s="4" t="str">
        <f>IF(OR(B885="Invalid Date",C885="Invalid Date"),"Invalid Date",IF(C885&lt;B885,"Invalid Shipping","OK"))</f>
        <v>Invalid Shipping</v>
      </c>
      <c r="X885">
        <f t="shared" si="104"/>
        <v>1</v>
      </c>
      <c r="Y885">
        <f t="shared" si="105"/>
        <v>0</v>
      </c>
      <c r="Z885">
        <f t="shared" si="106"/>
        <v>1620.87</v>
      </c>
      <c r="AA885">
        <f t="shared" si="107"/>
        <v>517.26</v>
      </c>
      <c r="AB885" s="6">
        <f t="shared" si="108"/>
        <v>0.31912491439782342</v>
      </c>
      <c r="AC885" t="str">
        <f t="shared" si="109"/>
        <v>April</v>
      </c>
      <c r="AD885">
        <f t="shared" si="110"/>
        <v>2025</v>
      </c>
      <c r="AE885" t="str">
        <f t="shared" si="111"/>
        <v>Invalid</v>
      </c>
    </row>
    <row r="886" spans="1:31">
      <c r="A886" t="s">
        <v>2716</v>
      </c>
      <c r="B886" s="3">
        <v>45675</v>
      </c>
      <c r="C886" s="3">
        <v>45682</v>
      </c>
      <c r="D886" t="s">
        <v>2717</v>
      </c>
      <c r="E886" t="s">
        <v>79</v>
      </c>
      <c r="F886" t="s">
        <v>95</v>
      </c>
      <c r="G886" t="s">
        <v>54</v>
      </c>
      <c r="H886" t="s">
        <v>175</v>
      </c>
      <c r="I886" t="s">
        <v>176</v>
      </c>
      <c r="J886" t="s">
        <v>28</v>
      </c>
      <c r="K886" t="s">
        <v>124</v>
      </c>
      <c r="L886" t="s">
        <v>2718</v>
      </c>
      <c r="M886" t="s">
        <v>44</v>
      </c>
      <c r="N886">
        <v>2</v>
      </c>
      <c r="O886">
        <v>2098.54</v>
      </c>
      <c r="P886">
        <v>0.15</v>
      </c>
      <c r="Q886">
        <v>3567.52</v>
      </c>
      <c r="R886">
        <v>2411.8000000000002</v>
      </c>
      <c r="S886">
        <v>1155.72</v>
      </c>
      <c r="T886" t="s">
        <v>32</v>
      </c>
      <c r="U886" t="s">
        <v>33</v>
      </c>
      <c r="V886">
        <f>IF(OR(B886="Invalid Date",C886="Invalid Date"),"Invalid Date",C886-B886)</f>
        <v>7</v>
      </c>
      <c r="W886" s="4" t="str">
        <f>IF(OR(B886="Invalid Date",C886="Invalid Date"),"Invalid Date",IF(C886&lt;B886,"Invalid Shipping","OK"))</f>
        <v>OK</v>
      </c>
      <c r="X886">
        <f t="shared" si="104"/>
        <v>1</v>
      </c>
      <c r="Y886">
        <f t="shared" si="105"/>
        <v>0.15</v>
      </c>
      <c r="Z886">
        <f t="shared" si="106"/>
        <v>3567.518</v>
      </c>
      <c r="AA886">
        <f t="shared" si="107"/>
        <v>1155.7179999999998</v>
      </c>
      <c r="AB886" s="6">
        <f t="shared" si="108"/>
        <v>0.32395575859743381</v>
      </c>
      <c r="AC886" t="str">
        <f t="shared" si="109"/>
        <v>January</v>
      </c>
      <c r="AD886">
        <f t="shared" si="110"/>
        <v>2025</v>
      </c>
      <c r="AE886" t="str">
        <f t="shared" si="111"/>
        <v>Clean</v>
      </c>
    </row>
    <row r="887" spans="1:31">
      <c r="A887" t="s">
        <v>2719</v>
      </c>
      <c r="B887" s="3">
        <v>45296</v>
      </c>
      <c r="C887" s="3">
        <v>45296</v>
      </c>
      <c r="D887" t="s">
        <v>2720</v>
      </c>
      <c r="E887" t="s">
        <v>162</v>
      </c>
      <c r="F887" t="s">
        <v>24</v>
      </c>
      <c r="G887" t="s">
        <v>25</v>
      </c>
      <c r="H887" t="s">
        <v>26</v>
      </c>
      <c r="I887" t="s">
        <v>27</v>
      </c>
      <c r="J887" t="s">
        <v>41</v>
      </c>
      <c r="K887" t="s">
        <v>42</v>
      </c>
      <c r="L887" t="s">
        <v>2721</v>
      </c>
      <c r="M887" t="s">
        <v>59</v>
      </c>
      <c r="N887">
        <v>1</v>
      </c>
      <c r="O887">
        <v>2167.08</v>
      </c>
      <c r="P887">
        <v>0.25</v>
      </c>
      <c r="Q887">
        <v>1625.31</v>
      </c>
      <c r="R887">
        <v>1157.8900000000001</v>
      </c>
      <c r="S887">
        <v>467.42</v>
      </c>
      <c r="T887" t="s">
        <v>32</v>
      </c>
      <c r="U887" t="s">
        <v>33</v>
      </c>
      <c r="V887">
        <f>IF(OR(B887="Invalid Date",C887="Invalid Date"),"Invalid Date",C887-B887)</f>
        <v>0</v>
      </c>
      <c r="W887" s="4" t="str">
        <f>IF(OR(B887="Invalid Date",C887="Invalid Date"),"Invalid Date",IF(C887&lt;B887,"Invalid Shipping","OK"))</f>
        <v>OK</v>
      </c>
      <c r="X887">
        <f t="shared" si="104"/>
        <v>1</v>
      </c>
      <c r="Y887">
        <f t="shared" si="105"/>
        <v>0.25</v>
      </c>
      <c r="Z887">
        <f t="shared" si="106"/>
        <v>1625.31</v>
      </c>
      <c r="AA887">
        <f t="shared" si="107"/>
        <v>467.41999999999985</v>
      </c>
      <c r="AB887" s="6">
        <f t="shared" si="108"/>
        <v>0.28758821394072509</v>
      </c>
      <c r="AC887" t="str">
        <f t="shared" si="109"/>
        <v>January</v>
      </c>
      <c r="AD887">
        <f t="shared" si="110"/>
        <v>2024</v>
      </c>
      <c r="AE887" t="str">
        <f t="shared" si="111"/>
        <v>Clean</v>
      </c>
    </row>
    <row r="888" spans="1:31">
      <c r="A888" t="s">
        <v>2722</v>
      </c>
      <c r="B888" s="3">
        <v>45773</v>
      </c>
      <c r="C888" s="3">
        <v>45780</v>
      </c>
      <c r="D888" t="s">
        <v>2723</v>
      </c>
      <c r="E888" t="s">
        <v>53</v>
      </c>
      <c r="F888" t="s">
        <v>95</v>
      </c>
      <c r="G888" t="s">
        <v>54</v>
      </c>
      <c r="H888" t="s">
        <v>247</v>
      </c>
      <c r="I888" t="s">
        <v>248</v>
      </c>
      <c r="J888" t="s">
        <v>74</v>
      </c>
      <c r="K888" t="s">
        <v>75</v>
      </c>
      <c r="L888" t="s">
        <v>2724</v>
      </c>
      <c r="M888" t="s">
        <v>50</v>
      </c>
      <c r="N888">
        <v>7</v>
      </c>
      <c r="O888">
        <v>3989.9</v>
      </c>
      <c r="P888">
        <v>0.15</v>
      </c>
      <c r="Q888">
        <v>23739.9</v>
      </c>
      <c r="R888">
        <v>17716.52</v>
      </c>
      <c r="S888">
        <v>6023.38</v>
      </c>
      <c r="T888" t="s">
        <v>32</v>
      </c>
      <c r="U888" t="s">
        <v>68</v>
      </c>
      <c r="V888">
        <f>IF(OR(B888="Invalid Date",C888="Invalid Date"),"Invalid Date",C888-B888)</f>
        <v>7</v>
      </c>
      <c r="W888" s="4" t="str">
        <f>IF(OR(B888="Invalid Date",C888="Invalid Date"),"Invalid Date",IF(C888&lt;B888,"Invalid Shipping","OK"))</f>
        <v>OK</v>
      </c>
      <c r="X888">
        <f t="shared" si="104"/>
        <v>1</v>
      </c>
      <c r="Y888">
        <f t="shared" si="105"/>
        <v>0.15</v>
      </c>
      <c r="Z888">
        <f t="shared" si="106"/>
        <v>23739.904999999999</v>
      </c>
      <c r="AA888">
        <f t="shared" si="107"/>
        <v>6023.3849999999984</v>
      </c>
      <c r="AB888" s="6">
        <f t="shared" si="108"/>
        <v>0.25372405660427028</v>
      </c>
      <c r="AC888" t="str">
        <f t="shared" si="109"/>
        <v>April</v>
      </c>
      <c r="AD888">
        <f t="shared" si="110"/>
        <v>2025</v>
      </c>
      <c r="AE888" t="str">
        <f t="shared" si="111"/>
        <v>Clean</v>
      </c>
    </row>
    <row r="889" spans="1:31">
      <c r="A889" t="s">
        <v>2725</v>
      </c>
      <c r="B889" s="3">
        <v>45455</v>
      </c>
      <c r="C889" s="3">
        <v>45461</v>
      </c>
      <c r="D889" t="s">
        <v>2726</v>
      </c>
      <c r="E889" t="s">
        <v>128</v>
      </c>
      <c r="F889" t="s">
        <v>37</v>
      </c>
      <c r="G889" t="s">
        <v>54</v>
      </c>
      <c r="H889" t="s">
        <v>84</v>
      </c>
      <c r="I889" t="s">
        <v>85</v>
      </c>
      <c r="J889" t="s">
        <v>28</v>
      </c>
      <c r="K889" t="s">
        <v>48</v>
      </c>
      <c r="L889" t="s">
        <v>2727</v>
      </c>
      <c r="M889" t="s">
        <v>59</v>
      </c>
      <c r="N889">
        <v>4</v>
      </c>
      <c r="O889">
        <v>4176.13</v>
      </c>
      <c r="P889">
        <v>0</v>
      </c>
      <c r="Q889">
        <v>16704.52</v>
      </c>
      <c r="R889">
        <v>10158.280000000001</v>
      </c>
      <c r="S889">
        <v>6546.24</v>
      </c>
      <c r="T889" t="s">
        <v>32</v>
      </c>
      <c r="U889" t="s">
        <v>33</v>
      </c>
      <c r="V889">
        <f>IF(OR(B889="Invalid Date",C889="Invalid Date"),"Invalid Date",C889-B889)</f>
        <v>6</v>
      </c>
      <c r="W889" s="4" t="str">
        <f>IF(OR(B889="Invalid Date",C889="Invalid Date"),"Invalid Date",IF(C889&lt;B889,"Invalid Shipping","OK"))</f>
        <v>OK</v>
      </c>
      <c r="X889">
        <f t="shared" si="104"/>
        <v>1</v>
      </c>
      <c r="Y889">
        <f t="shared" si="105"/>
        <v>0</v>
      </c>
      <c r="Z889">
        <f t="shared" si="106"/>
        <v>16704.52</v>
      </c>
      <c r="AA889">
        <f t="shared" si="107"/>
        <v>6546.24</v>
      </c>
      <c r="AB889" s="6">
        <f t="shared" si="108"/>
        <v>0.39188435225914897</v>
      </c>
      <c r="AC889" t="str">
        <f t="shared" si="109"/>
        <v>June</v>
      </c>
      <c r="AD889">
        <f t="shared" si="110"/>
        <v>2024</v>
      </c>
      <c r="AE889" t="str">
        <f t="shared" si="111"/>
        <v>Clean</v>
      </c>
    </row>
    <row r="890" spans="1:31">
      <c r="A890" t="s">
        <v>2728</v>
      </c>
      <c r="B890" s="3">
        <v>45875</v>
      </c>
      <c r="C890" s="3">
        <v>45876</v>
      </c>
      <c r="D890" t="s">
        <v>2729</v>
      </c>
      <c r="E890" t="s">
        <v>118</v>
      </c>
      <c r="F890" t="s">
        <v>37</v>
      </c>
      <c r="G890" t="s">
        <v>63</v>
      </c>
      <c r="H890" t="s">
        <v>64</v>
      </c>
      <c r="I890" t="s">
        <v>65</v>
      </c>
      <c r="J890" t="s">
        <v>28</v>
      </c>
      <c r="K890" t="s">
        <v>48</v>
      </c>
      <c r="L890" t="s">
        <v>2730</v>
      </c>
      <c r="M890" t="s">
        <v>59</v>
      </c>
      <c r="N890">
        <v>4</v>
      </c>
      <c r="O890">
        <v>3523.64</v>
      </c>
      <c r="P890">
        <v>0.1</v>
      </c>
      <c r="Q890">
        <v>12685.1</v>
      </c>
      <c r="R890">
        <v>10779.56</v>
      </c>
      <c r="S890">
        <v>1905.54</v>
      </c>
      <c r="T890" t="s">
        <v>102</v>
      </c>
      <c r="U890" t="s">
        <v>68</v>
      </c>
      <c r="V890">
        <f>IF(OR(B890="Invalid Date",C890="Invalid Date"),"Invalid Date",C890-B890)</f>
        <v>1</v>
      </c>
      <c r="W890" s="4" t="str">
        <f>IF(OR(B890="Invalid Date",C890="Invalid Date"),"Invalid Date",IF(C890&lt;B890,"Invalid Shipping","OK"))</f>
        <v>OK</v>
      </c>
      <c r="X890">
        <f t="shared" si="104"/>
        <v>1</v>
      </c>
      <c r="Y890">
        <f t="shared" si="105"/>
        <v>0.1</v>
      </c>
      <c r="Z890">
        <f t="shared" si="106"/>
        <v>12685.103999999999</v>
      </c>
      <c r="AA890">
        <f t="shared" si="107"/>
        <v>1905.5439999999999</v>
      </c>
      <c r="AB890" s="6">
        <f t="shared" si="108"/>
        <v>0.15021902855506741</v>
      </c>
      <c r="AC890" t="str">
        <f t="shared" si="109"/>
        <v>August</v>
      </c>
      <c r="AD890">
        <f t="shared" si="110"/>
        <v>2025</v>
      </c>
      <c r="AE890" t="str">
        <f t="shared" si="111"/>
        <v>Clean</v>
      </c>
    </row>
    <row r="891" spans="1:31">
      <c r="A891" t="s">
        <v>2731</v>
      </c>
      <c r="B891" s="3">
        <v>45726</v>
      </c>
      <c r="C891" s="3">
        <v>45964</v>
      </c>
      <c r="D891" t="s">
        <v>883</v>
      </c>
      <c r="E891" t="s">
        <v>89</v>
      </c>
      <c r="F891" t="s">
        <v>95</v>
      </c>
      <c r="G891" t="s">
        <v>63</v>
      </c>
      <c r="H891" t="s">
        <v>72</v>
      </c>
      <c r="I891" t="s">
        <v>73</v>
      </c>
      <c r="J891" t="s">
        <v>28</v>
      </c>
      <c r="K891" t="s">
        <v>124</v>
      </c>
      <c r="L891" t="s">
        <v>2732</v>
      </c>
      <c r="M891" t="s">
        <v>50</v>
      </c>
      <c r="N891">
        <v>2</v>
      </c>
      <c r="O891">
        <v>3922.08</v>
      </c>
      <c r="P891">
        <v>0.25</v>
      </c>
      <c r="Q891">
        <v>5883.12</v>
      </c>
      <c r="R891">
        <v>4647.91</v>
      </c>
      <c r="S891">
        <v>1235.21</v>
      </c>
      <c r="T891" t="s">
        <v>32</v>
      </c>
      <c r="U891" t="s">
        <v>103</v>
      </c>
      <c r="V891">
        <f>IF(OR(B891="Invalid Date",C891="Invalid Date"),"Invalid Date",C891-B891)</f>
        <v>238</v>
      </c>
      <c r="W891" s="4" t="str">
        <f>IF(OR(B891="Invalid Date",C891="Invalid Date"),"Invalid Date",IF(C891&lt;B891,"Invalid Shipping","OK"))</f>
        <v>OK</v>
      </c>
      <c r="X891">
        <f t="shared" si="104"/>
        <v>1</v>
      </c>
      <c r="Y891">
        <f t="shared" si="105"/>
        <v>0.25</v>
      </c>
      <c r="Z891">
        <f t="shared" si="106"/>
        <v>5883.12</v>
      </c>
      <c r="AA891">
        <f t="shared" si="107"/>
        <v>1235.21</v>
      </c>
      <c r="AB891" s="6">
        <f t="shared" si="108"/>
        <v>0.20995832143488491</v>
      </c>
      <c r="AC891" t="str">
        <f t="shared" si="109"/>
        <v>March</v>
      </c>
      <c r="AD891">
        <f t="shared" si="110"/>
        <v>2025</v>
      </c>
      <c r="AE891" t="str">
        <f t="shared" si="111"/>
        <v>Clean</v>
      </c>
    </row>
    <row r="892" spans="1:31">
      <c r="A892" t="s">
        <v>2733</v>
      </c>
      <c r="B892" s="3">
        <v>45427</v>
      </c>
      <c r="C892" s="3">
        <v>45433</v>
      </c>
      <c r="D892" t="s">
        <v>2734</v>
      </c>
      <c r="E892" t="s">
        <v>23</v>
      </c>
      <c r="F892" t="s">
        <v>24</v>
      </c>
      <c r="G892" t="s">
        <v>63</v>
      </c>
      <c r="H892" t="s">
        <v>190</v>
      </c>
      <c r="I892" t="s">
        <v>191</v>
      </c>
      <c r="J892" t="s">
        <v>28</v>
      </c>
      <c r="K892" t="s">
        <v>124</v>
      </c>
      <c r="L892" t="s">
        <v>2735</v>
      </c>
      <c r="M892" t="s">
        <v>59</v>
      </c>
      <c r="N892">
        <v>6</v>
      </c>
      <c r="O892">
        <v>2909.56</v>
      </c>
      <c r="P892">
        <v>0.2</v>
      </c>
      <c r="Q892">
        <v>13965.89</v>
      </c>
      <c r="R892">
        <v>11646.12</v>
      </c>
      <c r="S892">
        <v>2319.77</v>
      </c>
      <c r="T892" t="s">
        <v>32</v>
      </c>
      <c r="U892" t="s">
        <v>33</v>
      </c>
      <c r="V892">
        <f>IF(OR(B892="Invalid Date",C892="Invalid Date"),"Invalid Date",C892-B892)</f>
        <v>6</v>
      </c>
      <c r="W892" s="4" t="str">
        <f>IF(OR(B892="Invalid Date",C892="Invalid Date"),"Invalid Date",IF(C892&lt;B892,"Invalid Shipping","OK"))</f>
        <v>OK</v>
      </c>
      <c r="X892">
        <f t="shared" si="104"/>
        <v>1</v>
      </c>
      <c r="Y892">
        <f t="shared" si="105"/>
        <v>0.2</v>
      </c>
      <c r="Z892">
        <f t="shared" si="106"/>
        <v>13965.888000000001</v>
      </c>
      <c r="AA892">
        <f t="shared" si="107"/>
        <v>2319.768</v>
      </c>
      <c r="AB892" s="6">
        <f t="shared" si="108"/>
        <v>0.16610243473239938</v>
      </c>
      <c r="AC892" t="str">
        <f t="shared" si="109"/>
        <v>May</v>
      </c>
      <c r="AD892">
        <f t="shared" si="110"/>
        <v>2024</v>
      </c>
      <c r="AE892" t="str">
        <f t="shared" si="111"/>
        <v>Clean</v>
      </c>
    </row>
    <row r="893" spans="1:31">
      <c r="A893" t="s">
        <v>2736</v>
      </c>
      <c r="B893" s="3">
        <v>45573</v>
      </c>
      <c r="C893" s="3">
        <v>45574</v>
      </c>
      <c r="D893" t="s">
        <v>2737</v>
      </c>
      <c r="E893" t="s">
        <v>264</v>
      </c>
      <c r="F893" t="s">
        <v>90</v>
      </c>
      <c r="G893" t="s">
        <v>54</v>
      </c>
      <c r="H893" t="s">
        <v>247</v>
      </c>
      <c r="I893" t="s">
        <v>248</v>
      </c>
      <c r="J893" t="s">
        <v>74</v>
      </c>
      <c r="K893" t="s">
        <v>274</v>
      </c>
      <c r="L893" t="s">
        <v>2738</v>
      </c>
      <c r="M893" t="s">
        <v>44</v>
      </c>
      <c r="N893">
        <v>5</v>
      </c>
      <c r="O893">
        <v>2407.9699999999998</v>
      </c>
      <c r="P893">
        <v>0.1</v>
      </c>
      <c r="Q893">
        <v>10835.86</v>
      </c>
      <c r="R893">
        <v>6419.92</v>
      </c>
      <c r="S893">
        <v>4415.9399999999996</v>
      </c>
      <c r="T893" t="s">
        <v>155</v>
      </c>
      <c r="U893" t="s">
        <v>68</v>
      </c>
      <c r="V893">
        <f>IF(OR(B893="Invalid Date",C893="Invalid Date"),"Invalid Date",C893-B893)</f>
        <v>1</v>
      </c>
      <c r="W893" s="4" t="str">
        <f>IF(OR(B893="Invalid Date",C893="Invalid Date"),"Invalid Date",IF(C893&lt;B893,"Invalid Shipping","OK"))</f>
        <v>OK</v>
      </c>
      <c r="X893">
        <f t="shared" si="104"/>
        <v>1</v>
      </c>
      <c r="Y893">
        <f t="shared" si="105"/>
        <v>0.1</v>
      </c>
      <c r="Z893">
        <f t="shared" si="106"/>
        <v>10835.865</v>
      </c>
      <c r="AA893">
        <f t="shared" si="107"/>
        <v>4415.9449999999997</v>
      </c>
      <c r="AB893" s="6">
        <f t="shared" si="108"/>
        <v>0.40753045557507406</v>
      </c>
      <c r="AC893" t="str">
        <f t="shared" si="109"/>
        <v>October</v>
      </c>
      <c r="AD893">
        <f t="shared" si="110"/>
        <v>2024</v>
      </c>
      <c r="AE893" t="str">
        <f t="shared" si="111"/>
        <v>Clean</v>
      </c>
    </row>
    <row r="894" spans="1:31">
      <c r="A894" t="s">
        <v>2739</v>
      </c>
      <c r="B894" s="3">
        <v>45995</v>
      </c>
      <c r="C894" s="3" t="s">
        <v>2763</v>
      </c>
      <c r="D894" t="s">
        <v>2740</v>
      </c>
      <c r="E894" t="s">
        <v>47</v>
      </c>
      <c r="F894" t="s">
        <v>37</v>
      </c>
      <c r="G894" t="s">
        <v>38</v>
      </c>
      <c r="H894" t="s">
        <v>228</v>
      </c>
      <c r="I894" t="s">
        <v>229</v>
      </c>
      <c r="J894" t="s">
        <v>74</v>
      </c>
      <c r="K894" t="s">
        <v>80</v>
      </c>
      <c r="L894" t="s">
        <v>2741</v>
      </c>
      <c r="M894" t="s">
        <v>44</v>
      </c>
      <c r="N894">
        <v>1</v>
      </c>
      <c r="O894">
        <v>726.89</v>
      </c>
      <c r="P894">
        <v>0.2</v>
      </c>
      <c r="Q894">
        <v>581.51</v>
      </c>
      <c r="R894">
        <v>423.86</v>
      </c>
      <c r="S894">
        <v>157.65</v>
      </c>
      <c r="T894" t="s">
        <v>32</v>
      </c>
      <c r="U894" t="s">
        <v>33</v>
      </c>
      <c r="V894" t="str">
        <f>IF(OR(B894="Invalid Date",C894="Invalid Date"),"Invalid Date",C894-B894)</f>
        <v>Invalid Date</v>
      </c>
      <c r="W894" s="4" t="str">
        <f>IF(OR(B894="Invalid Date",C894="Invalid Date"),"Invalid Date",IF(C894&lt;B894,"Invalid Shipping","OK"))</f>
        <v>Invalid Date</v>
      </c>
      <c r="X894">
        <f t="shared" si="104"/>
        <v>1</v>
      </c>
      <c r="Y894">
        <f t="shared" si="105"/>
        <v>0.2</v>
      </c>
      <c r="Z894">
        <f t="shared" si="106"/>
        <v>581.51200000000006</v>
      </c>
      <c r="AA894">
        <f t="shared" si="107"/>
        <v>157.65200000000004</v>
      </c>
      <c r="AB894" s="6">
        <f t="shared" si="108"/>
        <v>0.27110704508247468</v>
      </c>
      <c r="AC894" t="str">
        <f t="shared" si="109"/>
        <v>December</v>
      </c>
      <c r="AD894">
        <f t="shared" si="110"/>
        <v>2025</v>
      </c>
      <c r="AE894" t="str">
        <f t="shared" si="111"/>
        <v>Invalid</v>
      </c>
    </row>
    <row r="895" spans="1:31">
      <c r="A895" t="s">
        <v>2742</v>
      </c>
      <c r="B895" s="3">
        <v>45449</v>
      </c>
      <c r="C895" s="3">
        <v>45451</v>
      </c>
      <c r="D895" t="s">
        <v>2743</v>
      </c>
      <c r="E895" t="s">
        <v>128</v>
      </c>
      <c r="F895" t="s">
        <v>90</v>
      </c>
      <c r="G895" t="s">
        <v>54</v>
      </c>
      <c r="H895" t="s">
        <v>175</v>
      </c>
      <c r="I895" t="s">
        <v>176</v>
      </c>
      <c r="J895" t="s">
        <v>41</v>
      </c>
      <c r="K895" t="s">
        <v>42</v>
      </c>
      <c r="L895" t="s">
        <v>2744</v>
      </c>
      <c r="M895" t="s">
        <v>31</v>
      </c>
      <c r="N895">
        <v>3</v>
      </c>
      <c r="O895">
        <v>395.49</v>
      </c>
      <c r="P895">
        <v>0.05</v>
      </c>
      <c r="Q895">
        <v>1127.1500000000001</v>
      </c>
      <c r="R895">
        <v>845.62</v>
      </c>
      <c r="S895">
        <v>281.52999999999997</v>
      </c>
      <c r="T895" t="s">
        <v>32</v>
      </c>
      <c r="U895" t="s">
        <v>103</v>
      </c>
      <c r="V895">
        <f>IF(OR(B895="Invalid Date",C895="Invalid Date"),"Invalid Date",C895-B895)</f>
        <v>2</v>
      </c>
      <c r="W895" s="4" t="str">
        <f>IF(OR(B895="Invalid Date",C895="Invalid Date"),"Invalid Date",IF(C895&lt;B895,"Invalid Shipping","OK"))</f>
        <v>OK</v>
      </c>
      <c r="X895">
        <f t="shared" si="104"/>
        <v>1</v>
      </c>
      <c r="Y895">
        <f t="shared" si="105"/>
        <v>0.05</v>
      </c>
      <c r="Z895">
        <f t="shared" si="106"/>
        <v>1127.1465000000001</v>
      </c>
      <c r="AA895">
        <f t="shared" si="107"/>
        <v>281.52650000000006</v>
      </c>
      <c r="AB895" s="6">
        <f t="shared" si="108"/>
        <v>0.24976921810962466</v>
      </c>
      <c r="AC895" t="str">
        <f t="shared" si="109"/>
        <v>June</v>
      </c>
      <c r="AD895">
        <f t="shared" si="110"/>
        <v>2024</v>
      </c>
      <c r="AE895" t="str">
        <f t="shared" si="111"/>
        <v>Clean</v>
      </c>
    </row>
    <row r="896" spans="1:31">
      <c r="A896" t="s">
        <v>2745</v>
      </c>
      <c r="B896" s="3">
        <v>45344</v>
      </c>
      <c r="C896" s="3" t="s">
        <v>2763</v>
      </c>
      <c r="D896" t="s">
        <v>2746</v>
      </c>
      <c r="E896" t="s">
        <v>47</v>
      </c>
      <c r="F896" t="s">
        <v>95</v>
      </c>
      <c r="G896" t="s">
        <v>54</v>
      </c>
      <c r="H896" t="s">
        <v>55</v>
      </c>
      <c r="I896" t="s">
        <v>56</v>
      </c>
      <c r="J896" t="s">
        <v>41</v>
      </c>
      <c r="K896" t="s">
        <v>42</v>
      </c>
      <c r="L896" t="s">
        <v>2747</v>
      </c>
      <c r="M896" t="s">
        <v>50</v>
      </c>
      <c r="N896">
        <v>6</v>
      </c>
      <c r="O896">
        <v>4254.05</v>
      </c>
      <c r="P896">
        <v>0</v>
      </c>
      <c r="Q896">
        <v>25524.3</v>
      </c>
      <c r="R896">
        <v>16711.93</v>
      </c>
      <c r="S896">
        <v>8812.3700000000008</v>
      </c>
      <c r="T896" t="s">
        <v>32</v>
      </c>
      <c r="U896" t="s">
        <v>33</v>
      </c>
      <c r="V896" t="str">
        <f>IF(OR(B896="Invalid Date",C896="Invalid Date"),"Invalid Date",C896-B896)</f>
        <v>Invalid Date</v>
      </c>
      <c r="W896" s="4" t="str">
        <f>IF(OR(B896="Invalid Date",C896="Invalid Date"),"Invalid Date",IF(C896&lt;B896,"Invalid Shipping","OK"))</f>
        <v>Invalid Date</v>
      </c>
      <c r="X896">
        <f t="shared" si="104"/>
        <v>1</v>
      </c>
      <c r="Y896">
        <f t="shared" si="105"/>
        <v>0</v>
      </c>
      <c r="Z896">
        <f t="shared" si="106"/>
        <v>25524.300000000003</v>
      </c>
      <c r="AA896">
        <f t="shared" si="107"/>
        <v>8812.3700000000026</v>
      </c>
      <c r="AB896" s="6">
        <f t="shared" si="108"/>
        <v>0.34525413037771857</v>
      </c>
      <c r="AC896" t="str">
        <f t="shared" si="109"/>
        <v>February</v>
      </c>
      <c r="AD896">
        <f t="shared" si="110"/>
        <v>2024</v>
      </c>
      <c r="AE896" t="str">
        <f t="shared" si="111"/>
        <v>Invalid</v>
      </c>
    </row>
    <row r="897" spans="1:31">
      <c r="A897" t="s">
        <v>2748</v>
      </c>
      <c r="B897" s="3">
        <v>45601</v>
      </c>
      <c r="C897" s="3">
        <v>45576</v>
      </c>
      <c r="D897" t="s">
        <v>2749</v>
      </c>
      <c r="E897" t="s">
        <v>53</v>
      </c>
      <c r="F897" t="s">
        <v>24</v>
      </c>
      <c r="G897" t="s">
        <v>54</v>
      </c>
      <c r="H897" t="s">
        <v>185</v>
      </c>
      <c r="I897" t="s">
        <v>186</v>
      </c>
      <c r="J897" t="s">
        <v>41</v>
      </c>
      <c r="K897" t="s">
        <v>66</v>
      </c>
      <c r="L897" t="s">
        <v>2750</v>
      </c>
      <c r="M897" t="s">
        <v>44</v>
      </c>
      <c r="N897">
        <v>4</v>
      </c>
      <c r="O897">
        <v>711.18</v>
      </c>
      <c r="P897">
        <v>0.15</v>
      </c>
      <c r="Q897">
        <v>2418.0100000000002</v>
      </c>
      <c r="R897">
        <v>1441.89</v>
      </c>
      <c r="S897">
        <v>976.12</v>
      </c>
      <c r="T897" t="s">
        <v>111</v>
      </c>
      <c r="U897" t="s">
        <v>103</v>
      </c>
      <c r="V897">
        <f>IF(OR(B897="Invalid Date",C897="Invalid Date"),"Invalid Date",C897-B897)</f>
        <v>-25</v>
      </c>
      <c r="W897" s="4" t="str">
        <f>IF(OR(B897="Invalid Date",C897="Invalid Date"),"Invalid Date",IF(C897&lt;B897,"Invalid Shipping","OK"))</f>
        <v>Invalid Shipping</v>
      </c>
      <c r="X897">
        <f t="shared" si="104"/>
        <v>1</v>
      </c>
      <c r="Y897">
        <f t="shared" si="105"/>
        <v>0.15</v>
      </c>
      <c r="Z897">
        <f t="shared" si="106"/>
        <v>2418.0119999999997</v>
      </c>
      <c r="AA897">
        <f t="shared" si="107"/>
        <v>976.12199999999962</v>
      </c>
      <c r="AB897" s="6">
        <f t="shared" si="108"/>
        <v>0.40368782288921634</v>
      </c>
      <c r="AC897" t="str">
        <f t="shared" si="109"/>
        <v>November</v>
      </c>
      <c r="AD897">
        <f t="shared" si="110"/>
        <v>2024</v>
      </c>
      <c r="AE897" t="str">
        <f t="shared" si="111"/>
        <v>Invalid</v>
      </c>
    </row>
    <row r="898" spans="1:31">
      <c r="A898" t="s">
        <v>2751</v>
      </c>
      <c r="B898" s="3" t="s">
        <v>2763</v>
      </c>
      <c r="C898" s="3">
        <v>45651</v>
      </c>
      <c r="D898" t="s">
        <v>2752</v>
      </c>
      <c r="E898" t="s">
        <v>62</v>
      </c>
      <c r="F898" t="s">
        <v>37</v>
      </c>
      <c r="G898" t="s">
        <v>54</v>
      </c>
      <c r="H898" t="s">
        <v>247</v>
      </c>
      <c r="I898" t="s">
        <v>248</v>
      </c>
      <c r="J898" t="s">
        <v>74</v>
      </c>
      <c r="K898" t="s">
        <v>80</v>
      </c>
      <c r="L898" t="s">
        <v>2753</v>
      </c>
      <c r="M898" t="s">
        <v>31</v>
      </c>
      <c r="N898">
        <v>1</v>
      </c>
      <c r="O898">
        <v>3693.03</v>
      </c>
      <c r="P898">
        <v>0.05</v>
      </c>
      <c r="Q898">
        <v>3508.38</v>
      </c>
      <c r="R898">
        <v>2828.06</v>
      </c>
      <c r="S898">
        <v>680.32</v>
      </c>
      <c r="T898" t="s">
        <v>155</v>
      </c>
      <c r="U898" t="s">
        <v>103</v>
      </c>
      <c r="V898" t="str">
        <f>IF(OR(B898="Invalid Date",C898="Invalid Date"),"Invalid Date",C898-B898)</f>
        <v>Invalid Date</v>
      </c>
      <c r="W898" s="4" t="str">
        <f>IF(OR(B898="Invalid Date",C898="Invalid Date"),"Invalid Date",IF(C898&lt;B898,"Invalid Shipping","OK"))</f>
        <v>Invalid Date</v>
      </c>
      <c r="X898">
        <f t="shared" si="104"/>
        <v>1</v>
      </c>
      <c r="Y898">
        <f t="shared" si="105"/>
        <v>0.05</v>
      </c>
      <c r="Z898">
        <f t="shared" si="106"/>
        <v>3508.3784999999998</v>
      </c>
      <c r="AA898">
        <f t="shared" si="107"/>
        <v>680.31849999999986</v>
      </c>
      <c r="AB898" s="6">
        <f t="shared" si="108"/>
        <v>0.19391251542557336</v>
      </c>
      <c r="AC898" t="str">
        <f t="shared" si="109"/>
        <v/>
      </c>
      <c r="AD898" t="str">
        <f t="shared" si="110"/>
        <v/>
      </c>
      <c r="AE898" t="str">
        <f t="shared" si="111"/>
        <v>Invalid</v>
      </c>
    </row>
    <row r="899" spans="1:31">
      <c r="A899" t="s">
        <v>2754</v>
      </c>
      <c r="B899" s="3" t="s">
        <v>2763</v>
      </c>
      <c r="C899" s="3">
        <v>45780</v>
      </c>
      <c r="D899" t="s">
        <v>2121</v>
      </c>
      <c r="E899" t="s">
        <v>141</v>
      </c>
      <c r="F899" t="s">
        <v>90</v>
      </c>
      <c r="G899" t="s">
        <v>25</v>
      </c>
      <c r="H899" t="s">
        <v>236</v>
      </c>
      <c r="I899" t="s">
        <v>237</v>
      </c>
      <c r="J899" t="s">
        <v>28</v>
      </c>
      <c r="K899" t="s">
        <v>29</v>
      </c>
      <c r="L899" t="s">
        <v>2755</v>
      </c>
      <c r="M899" t="s">
        <v>50</v>
      </c>
      <c r="N899">
        <v>4</v>
      </c>
      <c r="O899">
        <v>1786.65</v>
      </c>
      <c r="P899">
        <v>0.05</v>
      </c>
      <c r="Q899">
        <v>6789.27</v>
      </c>
      <c r="R899">
        <v>5626.43</v>
      </c>
      <c r="S899">
        <v>1162.8399999999999</v>
      </c>
      <c r="T899" t="s">
        <v>32</v>
      </c>
      <c r="U899" t="s">
        <v>33</v>
      </c>
      <c r="V899" t="str">
        <f>IF(OR(B899="Invalid Date",C899="Invalid Date"),"Invalid Date",C899-B899)</f>
        <v>Invalid Date</v>
      </c>
      <c r="W899" s="4" t="str">
        <f>IF(OR(B899="Invalid Date",C899="Invalid Date"),"Invalid Date",IF(C899&lt;B899,"Invalid Shipping","OK"))</f>
        <v>Invalid Date</v>
      </c>
      <c r="X899">
        <f t="shared" ref="X899:X913" si="112">COUNTIF($A:$A,A899)</f>
        <v>1</v>
      </c>
      <c r="Y899">
        <f t="shared" ref="Y899:Y913" si="113">IF(P899="",0,IF(OR(P899&lt;0,P899&gt;1),"Invalid",P899))</f>
        <v>0.05</v>
      </c>
      <c r="Z899">
        <f t="shared" ref="Z899:Z913" si="114">IF(ISTEXT(Y899),"",N899*O899*(1-Y899))</f>
        <v>6789.27</v>
      </c>
      <c r="AA899">
        <f t="shared" ref="AA899:AA913" si="115">IF(Z899="","",Z899-R899)</f>
        <v>1162.8400000000001</v>
      </c>
      <c r="AB899" s="6">
        <f t="shared" ref="AB899:AB913" si="116">IF(OR(Z899="",Z899=0),"",AA899/Z899)</f>
        <v>0.17127614603631908</v>
      </c>
      <c r="AC899" t="str">
        <f t="shared" ref="AC899:AC913" si="117">IF(ISNUMBER(B899),TEXT(B899,"mmmm"),"")</f>
        <v/>
      </c>
      <c r="AD899" t="str">
        <f t="shared" ref="AD899:AD913" si="118">IF(ISNUMBER(B899),YEAR(B899),"")</f>
        <v/>
      </c>
      <c r="AE899" t="str">
        <f t="shared" ref="AE899:AE913" si="119">IF(OR(B899="Invalid Date",C899="Invalid Date",W899="Invalid Date",W899="Invalid Shipping",Y899="Invalid"),"Invalid",IF(OR(G899="Unknown",M899="Unknown"),"Warning","Clean"))</f>
        <v>Invalid</v>
      </c>
    </row>
    <row r="900" spans="1:31">
      <c r="A900" t="s">
        <v>2756</v>
      </c>
      <c r="B900" s="3">
        <v>45445</v>
      </c>
      <c r="C900" s="3">
        <v>45510</v>
      </c>
      <c r="D900" t="s">
        <v>2757</v>
      </c>
      <c r="E900" t="s">
        <v>71</v>
      </c>
      <c r="F900" t="s">
        <v>24</v>
      </c>
      <c r="G900" t="s">
        <v>25</v>
      </c>
      <c r="H900" t="s">
        <v>350</v>
      </c>
      <c r="I900" t="s">
        <v>351</v>
      </c>
      <c r="J900" t="s">
        <v>41</v>
      </c>
      <c r="K900" t="s">
        <v>42</v>
      </c>
      <c r="L900" t="s">
        <v>2758</v>
      </c>
      <c r="M900" t="s">
        <v>50</v>
      </c>
      <c r="N900">
        <v>4</v>
      </c>
      <c r="O900">
        <v>1536.7</v>
      </c>
      <c r="P900">
        <v>0.2</v>
      </c>
      <c r="Q900">
        <v>4917.4399999999996</v>
      </c>
      <c r="R900">
        <v>3846.77</v>
      </c>
      <c r="S900">
        <v>1070.67</v>
      </c>
      <c r="T900" t="s">
        <v>32</v>
      </c>
      <c r="U900" t="s">
        <v>33</v>
      </c>
      <c r="V900">
        <f>IF(OR(B900="Invalid Date",C900="Invalid Date"),"Invalid Date",C900-B900)</f>
        <v>65</v>
      </c>
      <c r="W900" s="4" t="str">
        <f>IF(OR(B900="Invalid Date",C900="Invalid Date"),"Invalid Date",IF(C900&lt;B900,"Invalid Shipping","OK"))</f>
        <v>OK</v>
      </c>
      <c r="X900">
        <f t="shared" si="112"/>
        <v>1</v>
      </c>
      <c r="Y900">
        <f t="shared" si="113"/>
        <v>0.2</v>
      </c>
      <c r="Z900">
        <f t="shared" si="114"/>
        <v>4917.4400000000005</v>
      </c>
      <c r="AA900">
        <f t="shared" si="115"/>
        <v>1070.6700000000005</v>
      </c>
      <c r="AB900" s="6">
        <f t="shared" si="116"/>
        <v>0.21772914361944434</v>
      </c>
      <c r="AC900" t="str">
        <f t="shared" si="117"/>
        <v>June</v>
      </c>
      <c r="AD900">
        <f t="shared" si="118"/>
        <v>2024</v>
      </c>
      <c r="AE900" t="str">
        <f t="shared" si="119"/>
        <v>Clean</v>
      </c>
    </row>
    <row r="901" spans="1:31">
      <c r="A901" t="s">
        <v>2759</v>
      </c>
      <c r="B901" s="3">
        <v>45804</v>
      </c>
      <c r="C901" s="3">
        <v>45722</v>
      </c>
      <c r="D901" t="s">
        <v>2760</v>
      </c>
      <c r="E901" t="s">
        <v>23</v>
      </c>
      <c r="F901" t="s">
        <v>24</v>
      </c>
      <c r="G901" t="s">
        <v>25</v>
      </c>
      <c r="H901" t="s">
        <v>122</v>
      </c>
      <c r="I901" t="s">
        <v>123</v>
      </c>
      <c r="J901" t="s">
        <v>41</v>
      </c>
      <c r="K901" t="s">
        <v>66</v>
      </c>
      <c r="L901" t="s">
        <v>2761</v>
      </c>
      <c r="M901" t="s">
        <v>50</v>
      </c>
      <c r="N901">
        <v>5</v>
      </c>
      <c r="O901">
        <v>881.08</v>
      </c>
      <c r="P901">
        <v>0.25</v>
      </c>
      <c r="Q901">
        <v>3304.05</v>
      </c>
      <c r="R901">
        <v>2279.41</v>
      </c>
      <c r="S901">
        <v>1024.6400000000001</v>
      </c>
      <c r="T901" t="s">
        <v>155</v>
      </c>
      <c r="U901" t="s">
        <v>68</v>
      </c>
      <c r="V901">
        <f>IF(OR(B901="Invalid Date",C901="Invalid Date"),"Invalid Date",C901-B901)</f>
        <v>-82</v>
      </c>
      <c r="W901" s="4" t="str">
        <f>IF(OR(B901="Invalid Date",C901="Invalid Date"),"Invalid Date",IF(C901&lt;B901,"Invalid Shipping","OK"))</f>
        <v>Invalid Shipping</v>
      </c>
      <c r="X901">
        <f t="shared" si="112"/>
        <v>1</v>
      </c>
      <c r="Y901">
        <f t="shared" si="113"/>
        <v>0.25</v>
      </c>
      <c r="Z901">
        <f t="shared" si="114"/>
        <v>3304.05</v>
      </c>
      <c r="AA901">
        <f t="shared" si="115"/>
        <v>1024.6400000000003</v>
      </c>
      <c r="AB901" s="6">
        <f t="shared" si="116"/>
        <v>0.31011637233092726</v>
      </c>
      <c r="AC901" t="str">
        <f t="shared" si="117"/>
        <v>May</v>
      </c>
      <c r="AD901">
        <f t="shared" si="118"/>
        <v>2025</v>
      </c>
      <c r="AE901" t="str">
        <f t="shared" si="119"/>
        <v>Invalid</v>
      </c>
    </row>
    <row r="902" spans="1:31">
      <c r="A902" t="s">
        <v>1098</v>
      </c>
      <c r="B902" s="3">
        <v>45630</v>
      </c>
      <c r="C902" s="3">
        <v>45632</v>
      </c>
      <c r="D902" t="s">
        <v>1099</v>
      </c>
      <c r="E902" t="s">
        <v>132</v>
      </c>
      <c r="F902" t="s">
        <v>95</v>
      </c>
      <c r="G902" t="s">
        <v>38</v>
      </c>
      <c r="H902" t="s">
        <v>39</v>
      </c>
      <c r="I902" t="s">
        <v>40</v>
      </c>
      <c r="J902" t="s">
        <v>28</v>
      </c>
      <c r="K902" t="s">
        <v>153</v>
      </c>
      <c r="L902" t="s">
        <v>1100</v>
      </c>
      <c r="M902" t="s">
        <v>31</v>
      </c>
      <c r="N902">
        <v>4</v>
      </c>
      <c r="O902">
        <v>2685.66</v>
      </c>
      <c r="P902">
        <v>0</v>
      </c>
      <c r="Q902">
        <v>10989.89</v>
      </c>
      <c r="R902">
        <v>6477.37</v>
      </c>
      <c r="S902">
        <v>4265.2700000000004</v>
      </c>
      <c r="T902" t="s">
        <v>32</v>
      </c>
      <c r="U902" t="s">
        <v>33</v>
      </c>
      <c r="V902">
        <f>IF(OR(B902="Invalid Date",C902="Invalid Date"),"Invalid Date",C902-B902)</f>
        <v>2</v>
      </c>
      <c r="W902" s="4" t="str">
        <f>IF(OR(B902="Invalid Date",C902="Invalid Date"),"Invalid Date",IF(C902&lt;B902,"Invalid Shipping","OK"))</f>
        <v>OK</v>
      </c>
      <c r="X902">
        <f t="shared" si="112"/>
        <v>2</v>
      </c>
      <c r="Y902">
        <f t="shared" si="113"/>
        <v>0</v>
      </c>
      <c r="Z902">
        <f t="shared" si="114"/>
        <v>10742.64</v>
      </c>
      <c r="AA902">
        <f t="shared" si="115"/>
        <v>4265.2699999999995</v>
      </c>
      <c r="AB902" s="6">
        <f t="shared" si="116"/>
        <v>0.39704113700170535</v>
      </c>
      <c r="AC902" t="str">
        <f t="shared" si="117"/>
        <v>December</v>
      </c>
      <c r="AD902">
        <f t="shared" si="118"/>
        <v>2024</v>
      </c>
      <c r="AE902" t="str">
        <f t="shared" si="119"/>
        <v>Clean</v>
      </c>
    </row>
    <row r="903" spans="1:31">
      <c r="A903" t="s">
        <v>380</v>
      </c>
      <c r="B903" s="3" t="s">
        <v>2763</v>
      </c>
      <c r="C903" s="3">
        <v>45898</v>
      </c>
      <c r="D903" t="s">
        <v>381</v>
      </c>
      <c r="E903" t="s">
        <v>128</v>
      </c>
      <c r="F903" t="s">
        <v>37</v>
      </c>
      <c r="G903" t="s">
        <v>38</v>
      </c>
      <c r="H903" t="s">
        <v>145</v>
      </c>
      <c r="I903" t="s">
        <v>146</v>
      </c>
      <c r="J903" t="s">
        <v>74</v>
      </c>
      <c r="K903" t="s">
        <v>80</v>
      </c>
      <c r="L903" t="s">
        <v>382</v>
      </c>
      <c r="M903" t="s">
        <v>50</v>
      </c>
      <c r="N903">
        <v>3</v>
      </c>
      <c r="O903">
        <v>3703.96</v>
      </c>
      <c r="P903">
        <v>0.15</v>
      </c>
      <c r="Q903">
        <v>9549.44</v>
      </c>
      <c r="R903">
        <v>5586.28</v>
      </c>
      <c r="S903">
        <v>3858.82</v>
      </c>
      <c r="T903" t="s">
        <v>32</v>
      </c>
      <c r="U903" t="s">
        <v>103</v>
      </c>
      <c r="V903" t="str">
        <f>IF(OR(B903="Invalid Date",C903="Invalid Date"),"Invalid Date",C903-B903)</f>
        <v>Invalid Date</v>
      </c>
      <c r="W903" s="4" t="str">
        <f>IF(OR(B903="Invalid Date",C903="Invalid Date"),"Invalid Date",IF(C903&lt;B903,"Invalid Shipping","OK"))</f>
        <v>Invalid Date</v>
      </c>
      <c r="X903">
        <f t="shared" si="112"/>
        <v>2</v>
      </c>
      <c r="Y903">
        <f t="shared" si="113"/>
        <v>0.15</v>
      </c>
      <c r="Z903">
        <f t="shared" si="114"/>
        <v>9445.098</v>
      </c>
      <c r="AA903">
        <f t="shared" si="115"/>
        <v>3858.8180000000002</v>
      </c>
      <c r="AB903" s="6">
        <f t="shared" si="116"/>
        <v>0.40855245758170006</v>
      </c>
      <c r="AC903" t="str">
        <f t="shared" si="117"/>
        <v/>
      </c>
      <c r="AD903" t="str">
        <f t="shared" si="118"/>
        <v/>
      </c>
      <c r="AE903" t="str">
        <f t="shared" si="119"/>
        <v>Invalid</v>
      </c>
    </row>
    <row r="904" spans="1:31">
      <c r="A904" t="s">
        <v>1222</v>
      </c>
      <c r="B904" s="3">
        <v>45760</v>
      </c>
      <c r="C904" s="3">
        <v>45760</v>
      </c>
      <c r="D904" t="s">
        <v>1223</v>
      </c>
      <c r="E904" t="s">
        <v>132</v>
      </c>
      <c r="F904" t="s">
        <v>37</v>
      </c>
      <c r="G904" t="s">
        <v>25</v>
      </c>
      <c r="H904" t="s">
        <v>136</v>
      </c>
      <c r="I904" t="s">
        <v>137</v>
      </c>
      <c r="J904" t="s">
        <v>28</v>
      </c>
      <c r="K904" t="s">
        <v>124</v>
      </c>
      <c r="L904" t="s">
        <v>1224</v>
      </c>
      <c r="M904" t="s">
        <v>31</v>
      </c>
      <c r="N904">
        <v>9</v>
      </c>
      <c r="O904">
        <v>1118.68</v>
      </c>
      <c r="P904">
        <v>0</v>
      </c>
      <c r="Q904">
        <v>10348.43</v>
      </c>
      <c r="R904">
        <v>8595.3700000000008</v>
      </c>
      <c r="S904">
        <v>1472.75</v>
      </c>
      <c r="T904" t="s">
        <v>32</v>
      </c>
      <c r="U904" t="s">
        <v>103</v>
      </c>
      <c r="V904">
        <f>IF(OR(B904="Invalid Date",C904="Invalid Date"),"Invalid Date",C904-B904)</f>
        <v>0</v>
      </c>
      <c r="W904" s="4" t="str">
        <f>IF(OR(B904="Invalid Date",C904="Invalid Date"),"Invalid Date",IF(C904&lt;B904,"Invalid Shipping","OK"))</f>
        <v>OK</v>
      </c>
      <c r="X904">
        <f t="shared" si="112"/>
        <v>2</v>
      </c>
      <c r="Y904">
        <f t="shared" si="113"/>
        <v>0</v>
      </c>
      <c r="Z904">
        <f t="shared" si="114"/>
        <v>10068.120000000001</v>
      </c>
      <c r="AA904">
        <f t="shared" si="115"/>
        <v>1472.75</v>
      </c>
      <c r="AB904" s="6">
        <f t="shared" si="116"/>
        <v>0.14627855051389932</v>
      </c>
      <c r="AC904" t="str">
        <f t="shared" si="117"/>
        <v>April</v>
      </c>
      <c r="AD904">
        <f t="shared" si="118"/>
        <v>2025</v>
      </c>
      <c r="AE904" t="str">
        <f t="shared" si="119"/>
        <v>Clean</v>
      </c>
    </row>
    <row r="905" spans="1:31">
      <c r="A905" t="s">
        <v>780</v>
      </c>
      <c r="B905" s="3">
        <v>45698</v>
      </c>
      <c r="C905" s="3">
        <v>45938</v>
      </c>
      <c r="D905" t="s">
        <v>781</v>
      </c>
      <c r="E905" t="s">
        <v>47</v>
      </c>
      <c r="F905" t="s">
        <v>37</v>
      </c>
      <c r="G905" t="s">
        <v>25</v>
      </c>
      <c r="H905" t="s">
        <v>122</v>
      </c>
      <c r="I905" t="s">
        <v>123</v>
      </c>
      <c r="J905" t="s">
        <v>41</v>
      </c>
      <c r="K905" t="s">
        <v>57</v>
      </c>
      <c r="L905" t="s">
        <v>782</v>
      </c>
      <c r="M905" t="s">
        <v>59</v>
      </c>
      <c r="N905">
        <v>4</v>
      </c>
      <c r="O905">
        <v>3944.64</v>
      </c>
      <c r="P905">
        <v>0.25</v>
      </c>
      <c r="Q905">
        <v>12116.89</v>
      </c>
      <c r="R905">
        <v>6682.92</v>
      </c>
      <c r="S905">
        <v>5151</v>
      </c>
      <c r="T905" t="s">
        <v>32</v>
      </c>
      <c r="U905" t="s">
        <v>103</v>
      </c>
      <c r="V905">
        <f>IF(OR(B905="Invalid Date",C905="Invalid Date"),"Invalid Date",C905-B905)</f>
        <v>240</v>
      </c>
      <c r="W905" s="4" t="str">
        <f>IF(OR(B905="Invalid Date",C905="Invalid Date"),"Invalid Date",IF(C905&lt;B905,"Invalid Shipping","OK"))</f>
        <v>OK</v>
      </c>
      <c r="X905">
        <f t="shared" si="112"/>
        <v>2</v>
      </c>
      <c r="Y905">
        <f t="shared" si="113"/>
        <v>0.25</v>
      </c>
      <c r="Z905">
        <f t="shared" si="114"/>
        <v>11833.92</v>
      </c>
      <c r="AA905">
        <f t="shared" si="115"/>
        <v>5151</v>
      </c>
      <c r="AB905" s="6">
        <f t="shared" si="116"/>
        <v>0.43527419485681834</v>
      </c>
      <c r="AC905" t="str">
        <f t="shared" si="117"/>
        <v>February</v>
      </c>
      <c r="AD905">
        <f t="shared" si="118"/>
        <v>2025</v>
      </c>
      <c r="AE905" t="str">
        <f t="shared" si="119"/>
        <v>Clean</v>
      </c>
    </row>
    <row r="906" spans="1:31">
      <c r="A906" t="s">
        <v>1048</v>
      </c>
      <c r="B906" s="3" t="s">
        <v>2763</v>
      </c>
      <c r="C906" s="3">
        <v>45797</v>
      </c>
      <c r="D906" t="s">
        <v>1049</v>
      </c>
      <c r="E906" t="s">
        <v>47</v>
      </c>
      <c r="F906" t="s">
        <v>90</v>
      </c>
      <c r="G906" t="s">
        <v>63</v>
      </c>
      <c r="H906" t="s">
        <v>72</v>
      </c>
      <c r="I906" t="s">
        <v>73</v>
      </c>
      <c r="J906" t="s">
        <v>28</v>
      </c>
      <c r="K906" t="s">
        <v>91</v>
      </c>
      <c r="L906" t="s">
        <v>1050</v>
      </c>
      <c r="M906" t="s">
        <v>59</v>
      </c>
      <c r="N906">
        <v>9</v>
      </c>
      <c r="O906">
        <v>847.76</v>
      </c>
      <c r="P906">
        <v>0.15</v>
      </c>
      <c r="Q906">
        <v>6589.37</v>
      </c>
      <c r="R906">
        <v>5376.17</v>
      </c>
      <c r="S906">
        <v>1109.19</v>
      </c>
      <c r="T906" t="s">
        <v>155</v>
      </c>
      <c r="U906" t="s">
        <v>33</v>
      </c>
      <c r="V906" t="str">
        <f>IF(OR(B906="Invalid Date",C906="Invalid Date"),"Invalid Date",C906-B906)</f>
        <v>Invalid Date</v>
      </c>
      <c r="W906" s="4" t="str">
        <f>IF(OR(B906="Invalid Date",C906="Invalid Date"),"Invalid Date",IF(C906&lt;B906,"Invalid Shipping","OK"))</f>
        <v>Invalid Date</v>
      </c>
      <c r="X906">
        <f t="shared" si="112"/>
        <v>2</v>
      </c>
      <c r="Y906">
        <f t="shared" si="113"/>
        <v>0.15</v>
      </c>
      <c r="Z906">
        <f t="shared" si="114"/>
        <v>6485.3639999999996</v>
      </c>
      <c r="AA906">
        <f t="shared" si="115"/>
        <v>1109.1939999999995</v>
      </c>
      <c r="AB906" s="6">
        <f t="shared" si="116"/>
        <v>0.17103033846673826</v>
      </c>
      <c r="AC906" t="str">
        <f t="shared" si="117"/>
        <v/>
      </c>
      <c r="AD906" t="str">
        <f t="shared" si="118"/>
        <v/>
      </c>
      <c r="AE906" t="str">
        <f t="shared" si="119"/>
        <v>Invalid</v>
      </c>
    </row>
    <row r="907" spans="1:31">
      <c r="A907" t="s">
        <v>619</v>
      </c>
      <c r="B907" s="3">
        <v>45907</v>
      </c>
      <c r="C907" s="3" t="s">
        <v>2763</v>
      </c>
      <c r="D907" t="s">
        <v>620</v>
      </c>
      <c r="E907" t="s">
        <v>141</v>
      </c>
      <c r="F907" t="s">
        <v>90</v>
      </c>
      <c r="G907" t="s">
        <v>38</v>
      </c>
      <c r="H907" t="s">
        <v>145</v>
      </c>
      <c r="I907" t="s">
        <v>146</v>
      </c>
      <c r="J907" t="s">
        <v>74</v>
      </c>
      <c r="K907" t="s">
        <v>80</v>
      </c>
      <c r="L907" t="s">
        <v>621</v>
      </c>
      <c r="M907" t="s">
        <v>59</v>
      </c>
      <c r="N907">
        <v>3</v>
      </c>
      <c r="O907">
        <v>1711.32</v>
      </c>
      <c r="P907">
        <v>0</v>
      </c>
      <c r="Q907">
        <v>5206.53</v>
      </c>
      <c r="R907">
        <v>3930</v>
      </c>
      <c r="S907">
        <v>1203.96</v>
      </c>
      <c r="T907" t="s">
        <v>32</v>
      </c>
      <c r="U907" t="s">
        <v>103</v>
      </c>
      <c r="V907" t="str">
        <f>IF(OR(B907="Invalid Date",C907="Invalid Date"),"Invalid Date",C907-B907)</f>
        <v>Invalid Date</v>
      </c>
      <c r="W907" s="4" t="str">
        <f>IF(OR(B907="Invalid Date",C907="Invalid Date"),"Invalid Date",IF(C907&lt;B907,"Invalid Shipping","OK"))</f>
        <v>Invalid Date</v>
      </c>
      <c r="X907">
        <f t="shared" si="112"/>
        <v>2</v>
      </c>
      <c r="Y907">
        <f t="shared" si="113"/>
        <v>0</v>
      </c>
      <c r="Z907">
        <f t="shared" si="114"/>
        <v>5133.96</v>
      </c>
      <c r="AA907">
        <f t="shared" si="115"/>
        <v>1203.96</v>
      </c>
      <c r="AB907" s="6">
        <f t="shared" si="116"/>
        <v>0.23450903396208775</v>
      </c>
      <c r="AC907" t="str">
        <f t="shared" si="117"/>
        <v>September</v>
      </c>
      <c r="AD907">
        <f t="shared" si="118"/>
        <v>2025</v>
      </c>
      <c r="AE907" t="str">
        <f t="shared" si="119"/>
        <v>Invalid</v>
      </c>
    </row>
    <row r="908" spans="1:31">
      <c r="A908" t="s">
        <v>1371</v>
      </c>
      <c r="B908" s="3">
        <v>45342</v>
      </c>
      <c r="C908" s="3">
        <v>45349</v>
      </c>
      <c r="D908" t="s">
        <v>1372</v>
      </c>
      <c r="E908" t="s">
        <v>162</v>
      </c>
      <c r="F908" t="s">
        <v>24</v>
      </c>
      <c r="G908" t="s">
        <v>54</v>
      </c>
      <c r="H908" t="s">
        <v>185</v>
      </c>
      <c r="I908" t="s">
        <v>186</v>
      </c>
      <c r="J908" t="s">
        <v>74</v>
      </c>
      <c r="K908" t="s">
        <v>75</v>
      </c>
      <c r="L908" t="s">
        <v>1373</v>
      </c>
      <c r="M908" t="s">
        <v>50</v>
      </c>
      <c r="N908">
        <v>9</v>
      </c>
      <c r="O908">
        <v>3779.31</v>
      </c>
      <c r="P908">
        <v>0.2</v>
      </c>
      <c r="Q908">
        <v>27322.9</v>
      </c>
      <c r="R908">
        <v>17940.43</v>
      </c>
      <c r="S908">
        <v>9270.6</v>
      </c>
      <c r="T908" t="s">
        <v>32</v>
      </c>
      <c r="U908" t="s">
        <v>103</v>
      </c>
      <c r="V908">
        <f>IF(OR(B908="Invalid Date",C908="Invalid Date"),"Invalid Date",C908-B908)</f>
        <v>7</v>
      </c>
      <c r="W908" s="4" t="str">
        <f>IF(OR(B908="Invalid Date",C908="Invalid Date"),"Invalid Date",IF(C908&lt;B908,"Invalid Shipping","OK"))</f>
        <v>OK</v>
      </c>
      <c r="X908">
        <f t="shared" si="112"/>
        <v>2</v>
      </c>
      <c r="Y908">
        <f t="shared" si="113"/>
        <v>0.2</v>
      </c>
      <c r="Z908">
        <f t="shared" si="114"/>
        <v>27211.032000000003</v>
      </c>
      <c r="AA908">
        <f t="shared" si="115"/>
        <v>9270.6020000000026</v>
      </c>
      <c r="AB908" s="6">
        <f t="shared" si="116"/>
        <v>0.34069277490100347</v>
      </c>
      <c r="AC908" t="str">
        <f t="shared" si="117"/>
        <v>February</v>
      </c>
      <c r="AD908">
        <f t="shared" si="118"/>
        <v>2024</v>
      </c>
      <c r="AE908" t="str">
        <f t="shared" si="119"/>
        <v>Clean</v>
      </c>
    </row>
    <row r="909" spans="1:31">
      <c r="A909" t="s">
        <v>1809</v>
      </c>
      <c r="B909" s="3">
        <v>45698</v>
      </c>
      <c r="C909" s="3">
        <v>45702</v>
      </c>
      <c r="D909" t="s">
        <v>1810</v>
      </c>
      <c r="E909" t="s">
        <v>114</v>
      </c>
      <c r="F909" t="s">
        <v>37</v>
      </c>
      <c r="G909" t="s">
        <v>25</v>
      </c>
      <c r="H909" t="s">
        <v>136</v>
      </c>
      <c r="I909" t="s">
        <v>137</v>
      </c>
      <c r="J909" t="s">
        <v>74</v>
      </c>
      <c r="K909" t="s">
        <v>171</v>
      </c>
      <c r="L909" t="s">
        <v>1811</v>
      </c>
      <c r="M909" t="s">
        <v>2767</v>
      </c>
      <c r="N909">
        <v>5</v>
      </c>
      <c r="O909">
        <v>4276.29</v>
      </c>
      <c r="P909">
        <v>0</v>
      </c>
      <c r="Q909">
        <v>21443.63</v>
      </c>
      <c r="R909">
        <v>13240.21</v>
      </c>
      <c r="S909">
        <v>8141.24</v>
      </c>
      <c r="T909" t="s">
        <v>155</v>
      </c>
      <c r="U909" t="s">
        <v>33</v>
      </c>
      <c r="V909">
        <f>IF(OR(B909="Invalid Date",C909="Invalid Date"),"Invalid Date",C909-B909)</f>
        <v>4</v>
      </c>
      <c r="W909" s="4" t="str">
        <f>IF(OR(B909="Invalid Date",C909="Invalid Date"),"Invalid Date",IF(C909&lt;B909,"Invalid Shipping","OK"))</f>
        <v>OK</v>
      </c>
      <c r="X909">
        <f t="shared" si="112"/>
        <v>2</v>
      </c>
      <c r="Y909">
        <f t="shared" si="113"/>
        <v>0</v>
      </c>
      <c r="Z909">
        <f t="shared" si="114"/>
        <v>21381.45</v>
      </c>
      <c r="AA909">
        <f t="shared" si="115"/>
        <v>8141.2400000000016</v>
      </c>
      <c r="AB909" s="6">
        <f t="shared" si="116"/>
        <v>0.38076182859441249</v>
      </c>
      <c r="AC909" t="str">
        <f t="shared" si="117"/>
        <v>February</v>
      </c>
      <c r="AD909">
        <f t="shared" si="118"/>
        <v>2025</v>
      </c>
      <c r="AE909" t="str">
        <f t="shared" si="119"/>
        <v>Warning</v>
      </c>
    </row>
    <row r="910" spans="1:31">
      <c r="A910" t="s">
        <v>536</v>
      </c>
      <c r="B910" s="3">
        <v>45381</v>
      </c>
      <c r="C910" s="3">
        <v>45377</v>
      </c>
      <c r="D910" t="s">
        <v>537</v>
      </c>
      <c r="E910" t="s">
        <v>89</v>
      </c>
      <c r="F910" t="s">
        <v>95</v>
      </c>
      <c r="G910" t="s">
        <v>25</v>
      </c>
      <c r="H910" t="s">
        <v>26</v>
      </c>
      <c r="I910" t="s">
        <v>27</v>
      </c>
      <c r="J910" t="s">
        <v>74</v>
      </c>
      <c r="K910" t="s">
        <v>171</v>
      </c>
      <c r="L910" t="s">
        <v>538</v>
      </c>
      <c r="M910" t="s">
        <v>31</v>
      </c>
      <c r="N910">
        <v>5</v>
      </c>
      <c r="O910">
        <v>907.54</v>
      </c>
      <c r="P910">
        <v>0.15</v>
      </c>
      <c r="Q910">
        <v>4099.6899999999996</v>
      </c>
      <c r="R910">
        <v>2769.26</v>
      </c>
      <c r="S910">
        <v>1087.78</v>
      </c>
      <c r="T910" t="s">
        <v>32</v>
      </c>
      <c r="U910" t="s">
        <v>103</v>
      </c>
      <c r="V910">
        <f>IF(OR(B910="Invalid Date",C910="Invalid Date"),"Invalid Date",C910-B910)</f>
        <v>-4</v>
      </c>
      <c r="W910" s="4" t="str">
        <f>IF(OR(B910="Invalid Date",C910="Invalid Date"),"Invalid Date",IF(C910&lt;B910,"Invalid Shipping","OK"))</f>
        <v>Invalid Shipping</v>
      </c>
      <c r="X910">
        <f t="shared" si="112"/>
        <v>2</v>
      </c>
      <c r="Y910">
        <f t="shared" si="113"/>
        <v>0.15</v>
      </c>
      <c r="Z910">
        <f t="shared" si="114"/>
        <v>3857.0449999999996</v>
      </c>
      <c r="AA910">
        <f t="shared" si="115"/>
        <v>1087.7849999999994</v>
      </c>
      <c r="AB910" s="6">
        <f t="shared" si="116"/>
        <v>0.28202548842442843</v>
      </c>
      <c r="AC910" t="str">
        <f t="shared" si="117"/>
        <v>March</v>
      </c>
      <c r="AD910">
        <f t="shared" si="118"/>
        <v>2024</v>
      </c>
      <c r="AE910" t="str">
        <f t="shared" si="119"/>
        <v>Invalid</v>
      </c>
    </row>
    <row r="911" spans="1:31">
      <c r="A911" t="s">
        <v>923</v>
      </c>
      <c r="B911" s="3" t="s">
        <v>2763</v>
      </c>
      <c r="C911" s="3">
        <v>45528</v>
      </c>
      <c r="D911" t="s">
        <v>924</v>
      </c>
      <c r="E911" t="s">
        <v>53</v>
      </c>
      <c r="F911" t="s">
        <v>24</v>
      </c>
      <c r="G911" t="s">
        <v>54</v>
      </c>
      <c r="H911" t="s">
        <v>84</v>
      </c>
      <c r="I911" t="s">
        <v>85</v>
      </c>
      <c r="J911" t="s">
        <v>41</v>
      </c>
      <c r="K911" t="s">
        <v>66</v>
      </c>
      <c r="L911" t="s">
        <v>925</v>
      </c>
      <c r="M911" t="s">
        <v>50</v>
      </c>
      <c r="N911">
        <v>7</v>
      </c>
      <c r="O911">
        <v>557.21</v>
      </c>
      <c r="P911">
        <v>0.1</v>
      </c>
      <c r="Q911">
        <v>3797.79</v>
      </c>
      <c r="R911">
        <v>2191.5</v>
      </c>
      <c r="S911">
        <v>1213.48</v>
      </c>
      <c r="T911" t="s">
        <v>32</v>
      </c>
      <c r="U911" t="s">
        <v>103</v>
      </c>
      <c r="V911" t="str">
        <f>IF(OR(B911="Invalid Date",C911="Invalid Date"),"Invalid Date",C911-B911)</f>
        <v>Invalid Date</v>
      </c>
      <c r="W911" s="4" t="str">
        <f>IF(OR(B911="Invalid Date",C911="Invalid Date"),"Invalid Date",IF(C911&lt;B911,"Invalid Shipping","OK"))</f>
        <v>Invalid Date</v>
      </c>
      <c r="X911">
        <f t="shared" si="112"/>
        <v>2</v>
      </c>
      <c r="Y911">
        <f t="shared" si="113"/>
        <v>0.1</v>
      </c>
      <c r="Z911">
        <f t="shared" si="114"/>
        <v>3510.4230000000002</v>
      </c>
      <c r="AA911">
        <f t="shared" si="115"/>
        <v>1318.9230000000002</v>
      </c>
      <c r="AB911" s="6">
        <f t="shared" si="116"/>
        <v>0.37571625983535323</v>
      </c>
      <c r="AC911" t="str">
        <f t="shared" si="117"/>
        <v/>
      </c>
      <c r="AD911" t="str">
        <f t="shared" si="118"/>
        <v/>
      </c>
      <c r="AE911" t="str">
        <f t="shared" si="119"/>
        <v>Invalid</v>
      </c>
    </row>
    <row r="912" spans="1:31">
      <c r="A912" t="s">
        <v>479</v>
      </c>
      <c r="B912" s="3" t="s">
        <v>2763</v>
      </c>
      <c r="C912" s="3">
        <v>45437</v>
      </c>
      <c r="D912" t="s">
        <v>480</v>
      </c>
      <c r="E912" t="s">
        <v>132</v>
      </c>
      <c r="F912" t="s">
        <v>37</v>
      </c>
      <c r="G912" t="s">
        <v>25</v>
      </c>
      <c r="H912" t="s">
        <v>122</v>
      </c>
      <c r="I912" t="s">
        <v>123</v>
      </c>
      <c r="J912" t="s">
        <v>74</v>
      </c>
      <c r="K912" t="s">
        <v>80</v>
      </c>
      <c r="L912" t="s">
        <v>481</v>
      </c>
      <c r="M912" t="s">
        <v>44</v>
      </c>
      <c r="N912">
        <v>1</v>
      </c>
      <c r="O912">
        <v>634.13</v>
      </c>
      <c r="P912">
        <v>0</v>
      </c>
      <c r="Q912">
        <v>808.67</v>
      </c>
      <c r="R912">
        <v>453.35</v>
      </c>
      <c r="S912">
        <v>180.78</v>
      </c>
      <c r="T912" t="s">
        <v>102</v>
      </c>
      <c r="U912" t="s">
        <v>103</v>
      </c>
      <c r="V912" t="str">
        <f>IF(OR(B912="Invalid Date",C912="Invalid Date"),"Invalid Date",C912-B912)</f>
        <v>Invalid Date</v>
      </c>
      <c r="W912" s="4" t="str">
        <f>IF(OR(B912="Invalid Date",C912="Invalid Date"),"Invalid Date",IF(C912&lt;B912,"Invalid Shipping","OK"))</f>
        <v>Invalid Date</v>
      </c>
      <c r="X912">
        <f t="shared" si="112"/>
        <v>2</v>
      </c>
      <c r="Y912">
        <f t="shared" si="113"/>
        <v>0</v>
      </c>
      <c r="Z912">
        <f t="shared" si="114"/>
        <v>634.13</v>
      </c>
      <c r="AA912">
        <f t="shared" si="115"/>
        <v>180.77999999999997</v>
      </c>
      <c r="AB912" s="6">
        <f t="shared" si="116"/>
        <v>0.28508350022865969</v>
      </c>
      <c r="AC912" t="str">
        <f t="shared" si="117"/>
        <v/>
      </c>
      <c r="AD912" t="str">
        <f t="shared" si="118"/>
        <v/>
      </c>
      <c r="AE912" t="str">
        <f t="shared" si="119"/>
        <v>Invalid</v>
      </c>
    </row>
    <row r="913" spans="1:31">
      <c r="A913" t="s">
        <v>1110</v>
      </c>
      <c r="B913" s="3" t="s">
        <v>2763</v>
      </c>
      <c r="C913" s="3">
        <v>45826</v>
      </c>
      <c r="D913" t="s">
        <v>1111</v>
      </c>
      <c r="E913" t="s">
        <v>118</v>
      </c>
      <c r="F913" t="s">
        <v>95</v>
      </c>
      <c r="G913" t="s">
        <v>63</v>
      </c>
      <c r="H913" t="s">
        <v>72</v>
      </c>
      <c r="I913" t="s">
        <v>73</v>
      </c>
      <c r="J913" t="s">
        <v>28</v>
      </c>
      <c r="K913" t="s">
        <v>29</v>
      </c>
      <c r="L913" t="s">
        <v>1112</v>
      </c>
      <c r="M913" t="s">
        <v>50</v>
      </c>
      <c r="N913">
        <v>3</v>
      </c>
      <c r="O913">
        <v>4289.37</v>
      </c>
      <c r="P913">
        <v>0.1</v>
      </c>
      <c r="Q913">
        <v>11778.71</v>
      </c>
      <c r="R913">
        <v>6829.43</v>
      </c>
      <c r="S913">
        <v>4751.87</v>
      </c>
      <c r="T913" t="s">
        <v>32</v>
      </c>
      <c r="U913" t="s">
        <v>103</v>
      </c>
      <c r="V913" t="str">
        <f>IF(OR(B913="Invalid Date",C913="Invalid Date"),"Invalid Date",C913-B913)</f>
        <v>Invalid Date</v>
      </c>
      <c r="W913" s="4" t="str">
        <f>IF(OR(B913="Invalid Date",C913="Invalid Date"),"Invalid Date",IF(C913&lt;B913,"Invalid Shipping","OK"))</f>
        <v>Invalid Date</v>
      </c>
      <c r="X913">
        <f t="shared" si="112"/>
        <v>2</v>
      </c>
      <c r="Y913">
        <f t="shared" si="113"/>
        <v>0.1</v>
      </c>
      <c r="Z913">
        <f t="shared" si="114"/>
        <v>11581.299000000001</v>
      </c>
      <c r="AA913">
        <f t="shared" si="115"/>
        <v>4751.8690000000006</v>
      </c>
      <c r="AB913" s="6">
        <f t="shared" si="116"/>
        <v>0.41030535521101735</v>
      </c>
      <c r="AC913" t="str">
        <f t="shared" si="117"/>
        <v/>
      </c>
      <c r="AD913" t="str">
        <f t="shared" si="118"/>
        <v/>
      </c>
      <c r="AE913" t="str">
        <f t="shared" si="119"/>
        <v>Invalid</v>
      </c>
    </row>
    <row r="914" spans="1:31">
      <c r="B914"/>
    </row>
    <row r="915" spans="1:31">
      <c r="B915"/>
    </row>
    <row r="916" spans="1:31">
      <c r="B916"/>
    </row>
    <row r="917" spans="1:31">
      <c r="B917"/>
    </row>
    <row r="918" spans="1:31">
      <c r="B918"/>
    </row>
    <row r="919" spans="1:31">
      <c r="B919"/>
    </row>
    <row r="920" spans="1:31">
      <c r="B920"/>
    </row>
    <row r="921" spans="1:31">
      <c r="B921"/>
    </row>
    <row r="922" spans="1:31">
      <c r="B922"/>
    </row>
    <row r="923" spans="1:31">
      <c r="B923"/>
    </row>
    <row r="924" spans="1:31">
      <c r="B924"/>
    </row>
    <row r="925" spans="1:31">
      <c r="B925"/>
    </row>
    <row r="926" spans="1:31">
      <c r="B926"/>
    </row>
    <row r="927" spans="1:31">
      <c r="B927"/>
    </row>
    <row r="928" spans="1:31">
      <c r="B928"/>
    </row>
    <row r="929" spans="2:2">
      <c r="B929"/>
    </row>
    <row r="930" spans="2:2">
      <c r="B930"/>
    </row>
    <row r="931" spans="2:2">
      <c r="B931"/>
    </row>
    <row r="932" spans="2:2">
      <c r="B932"/>
    </row>
    <row r="933" spans="2:2">
      <c r="B933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cleaned_orders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Kashish Kirti</dc:creator>
  <cp:lastModifiedBy>kashishkirti1@outlook.com</cp:lastModifiedBy>
  <dcterms:created xsi:type="dcterms:W3CDTF">2026-06-25T07:56:35Z</dcterms:created>
  <dcterms:modified xsi:type="dcterms:W3CDTF">2026-06-27T23:32:44Z</dcterms:modified>
</cp:coreProperties>
</file>